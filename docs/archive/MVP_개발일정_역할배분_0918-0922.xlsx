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역할 배분" sheetId="1" state="visible" r:id="rId3"/>
    <sheet name="일자별 일정" sheetId="2" state="visible" r:id="rId4"/>
    <sheet name="작업 목록" sheetId="3" state="visible" r:id="rId5"/>
    <sheet name="마일스톤·시험" sheetId="4" state="visible" r:id="rId6"/>
    <sheet name="위험·범위 조정" sheetId="5" state="visible" r:id="rId7"/>
  </sheets>
  <definedNames>
    <definedName function="false" hidden="true" localSheetId="2" name="_xlnm._FilterDatabase" vbProcedure="false">'작업 목록'!$A$5:$L$47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<sst xmlns="http://schemas.openxmlformats.org/spreadsheetml/2006/main" count="520" uniqueCount="331">
  <si>
    <r>
      <rPr>
        <b val="true"/>
        <sz val="14"/>
        <color rgb="FF1F3864"/>
        <rFont val="Noto Sans CJK SC"/>
        <family val="2"/>
      </rPr>
      <t xml:space="preserve">역할 배분 — 용접 스캔 자동화 시스템 </t>
    </r>
    <r>
      <rPr>
        <b val="true"/>
        <sz val="14"/>
        <color rgb="FF1F3864"/>
        <rFont val="Arial"/>
        <family val="0"/>
        <charset val="1"/>
      </rPr>
      <t xml:space="preserve">MVP</t>
    </r>
  </si>
  <si>
    <r>
      <rPr>
        <i val="true"/>
        <sz val="9"/>
        <color rgb="FF595959"/>
        <rFont val="Noto Sans CJK SC"/>
        <family val="2"/>
      </rPr>
      <t xml:space="preserve">기준 문서</t>
    </r>
    <r>
      <rPr>
        <i val="true"/>
        <sz val="9"/>
        <color rgb="FF595959"/>
        <rFont val="Arial"/>
        <family val="0"/>
        <charset val="1"/>
      </rPr>
      <t xml:space="preserve">: BRD_</t>
    </r>
    <r>
      <rPr>
        <i val="true"/>
        <sz val="9"/>
        <color rgb="FF595959"/>
        <rFont val="Noto Sans CJK SC"/>
        <family val="2"/>
      </rPr>
      <t xml:space="preserve">용접스캔자동화시스템 </t>
    </r>
    <r>
      <rPr>
        <i val="true"/>
        <sz val="9"/>
        <color rgb="FF595959"/>
        <rFont val="Arial"/>
        <family val="0"/>
        <charset val="1"/>
      </rPr>
      <t xml:space="preserve">v3.0.0 · </t>
    </r>
    <r>
      <rPr>
        <i val="true"/>
        <sz val="9"/>
        <color rgb="FF595959"/>
        <rFont val="Noto Sans CJK SC"/>
        <family val="2"/>
      </rPr>
      <t xml:space="preserve">작성일 </t>
    </r>
    <r>
      <rPr>
        <i val="true"/>
        <sz val="9"/>
        <color rgb="FF595959"/>
        <rFont val="Arial"/>
        <family val="0"/>
        <charset val="1"/>
      </rPr>
      <t xml:space="preserve">2026-09-18 · MVP </t>
    </r>
    <r>
      <rPr>
        <i val="true"/>
        <sz val="9"/>
        <color rgb="FF595959"/>
        <rFont val="Noto Sans CJK SC"/>
        <family val="2"/>
      </rPr>
      <t xml:space="preserve">기간 </t>
    </r>
    <r>
      <rPr>
        <i val="true"/>
        <sz val="9"/>
        <color rgb="FF595959"/>
        <rFont val="Arial"/>
        <family val="0"/>
        <charset val="1"/>
      </rPr>
      <t xml:space="preserve">9/18(</t>
    </r>
    <r>
      <rPr>
        <i val="true"/>
        <sz val="9"/>
        <color rgb="FF595959"/>
        <rFont val="Noto Sans CJK SC"/>
        <family val="2"/>
      </rPr>
      <t xml:space="preserve">금</t>
    </r>
    <r>
      <rPr>
        <i val="true"/>
        <sz val="9"/>
        <color rgb="FF595959"/>
        <rFont val="Arial"/>
        <family val="0"/>
        <charset val="1"/>
      </rPr>
      <t xml:space="preserve">)~9/22(</t>
    </r>
    <r>
      <rPr>
        <i val="true"/>
        <sz val="9"/>
        <color rgb="FF595959"/>
        <rFont val="Noto Sans CJK SC"/>
        <family val="2"/>
      </rPr>
      <t xml:space="preserve">화</t>
    </r>
    <r>
      <rPr>
        <i val="true"/>
        <sz val="9"/>
        <color rgb="FF595959"/>
        <rFont val="Arial"/>
        <family val="0"/>
        <charset val="1"/>
      </rPr>
      <t xml:space="preserve">), 4</t>
    </r>
    <r>
      <rPr>
        <i val="true"/>
        <sz val="9"/>
        <color rgb="FF595959"/>
        <rFont val="Noto Sans CJK SC"/>
        <family val="2"/>
      </rPr>
      <t xml:space="preserve">명</t>
    </r>
  </si>
  <si>
    <t xml:space="preserve">담당</t>
  </si>
  <si>
    <t xml:space="preserve">책임 영역</t>
  </si>
  <si>
    <r>
      <rPr>
        <b val="true"/>
        <sz val="10"/>
        <color rgb="FFFFFFFF"/>
        <rFont val="Noto Sans CJK SC"/>
        <family val="2"/>
      </rPr>
      <t xml:space="preserve">맡는 구성요소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업무</t>
    </r>
  </si>
  <si>
    <t xml:space="preserve">담당 시험</t>
  </si>
  <si>
    <r>
      <rPr>
        <b val="true"/>
        <sz val="10"/>
        <color rgb="FF000000"/>
        <rFont val="Noto Sans CJK SC"/>
        <family val="2"/>
      </rPr>
      <t xml:space="preserve">학민
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모션</t>
    </r>
    <r>
      <rPr>
        <b val="true"/>
        <sz val="10"/>
        <color rgb="FF000000"/>
        <rFont val="Arial"/>
        <family val="0"/>
        <charset val="1"/>
      </rPr>
      <t xml:space="preserve">·</t>
    </r>
    <r>
      <rPr>
        <b val="true"/>
        <sz val="10"/>
        <color rgb="FF000000"/>
        <rFont val="Noto Sans CJK SC"/>
        <family val="2"/>
      </rPr>
      <t xml:space="preserve">하드웨어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</si>
  <si>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로봇을 움직이고 멈추는 것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실기 환경 기준 확정</t>
    </r>
  </si>
  <si>
    <r>
      <rPr>
        <sz val="10"/>
        <color rgb="FF000000"/>
        <rFont val="Arial"/>
        <family val="0"/>
        <charset val="1"/>
      </rPr>
      <t xml:space="preserve">robot_manager: amovel, </t>
    </r>
    <r>
      <rPr>
        <sz val="10"/>
        <color rgb="FF000000"/>
        <rFont val="Noto Sans CJK SC"/>
        <family val="2"/>
      </rPr>
      <t xml:space="preserve">하강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슬라이딩</t>
    </r>
    <r>
      <rPr>
        <sz val="10"/>
        <color rgb="FF000000"/>
        <rFont val="Arial"/>
        <family val="0"/>
        <charset val="1"/>
      </rPr>
      <t xml:space="preserve">, move_stop, </t>
    </r>
    <r>
      <rPr>
        <sz val="10"/>
        <color rgb="FF000000"/>
        <rFont val="Noto Sans CJK SC"/>
        <family val="2"/>
      </rPr>
      <t xml:space="preserve">홈 복귀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순응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힘 제어와 </t>
    </r>
    <r>
      <rPr>
        <sz val="10"/>
        <color rgb="FF000000"/>
        <rFont val="Arial"/>
        <family val="0"/>
        <charset val="1"/>
      </rPr>
      <t xml:space="preserve">finally </t>
    </r>
    <r>
      <rPr>
        <sz val="10"/>
        <color rgb="FF000000"/>
        <rFont val="Noto Sans CJK SC"/>
        <family val="2"/>
      </rPr>
      <t xml:space="preserve">해제</t>
    </r>
    <r>
      <rPr>
        <sz val="10"/>
        <color rgb="FF000000"/>
        <rFont val="Arial"/>
        <family val="0"/>
        <charset val="1"/>
      </rPr>
      <t xml:space="preserve">, RobotSample </t>
    </r>
    <r>
      <rPr>
        <sz val="10"/>
        <color rgb="FF000000"/>
        <rFont val="Noto Sans CJK SC"/>
        <family val="2"/>
      </rPr>
      <t xml:space="preserve">발행
</t>
    </r>
    <r>
      <rPr>
        <sz val="10"/>
        <color rgb="FF000000"/>
        <rFont val="Arial"/>
        <family val="0"/>
        <charset val="1"/>
      </rPr>
      <t xml:space="preserve">RG2 </t>
    </r>
    <r>
      <rPr>
        <sz val="10"/>
        <color rgb="FF000000"/>
        <rFont val="Noto Sans CJK SC"/>
        <family val="2"/>
      </rPr>
      <t xml:space="preserve">탐침 파지
툴 무게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무게중심</t>
    </r>
    <r>
      <rPr>
        <sz val="10"/>
        <color rgb="FF000000"/>
        <rFont val="Arial"/>
        <family val="0"/>
        <charset val="1"/>
      </rPr>
      <t xml:space="preserve">·TCP </t>
    </r>
    <r>
      <rPr>
        <sz val="10"/>
        <color rgb="FF000000"/>
        <rFont val="Noto Sans CJK SC"/>
        <family val="2"/>
      </rPr>
      <t xml:space="preserve">등록
작업대 원점</t>
    </r>
    <r>
      <rPr>
        <sz val="10"/>
        <color rgb="FF000000"/>
        <rFont val="Arial"/>
        <family val="0"/>
        <charset val="1"/>
      </rPr>
      <t xml:space="preserve">·z=0·</t>
    </r>
    <r>
      <rPr>
        <sz val="10"/>
        <color rgb="FF000000"/>
        <rFont val="Noto Sans CJK SC"/>
        <family val="2"/>
      </rPr>
      <t xml:space="preserve">홈 자세 확정
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호출 확인 로그 </t>
    </r>
    <r>
      <rPr>
        <sz val="10"/>
        <color rgb="FF000000"/>
        <rFont val="Arial"/>
        <family val="0"/>
        <charset val="1"/>
      </rPr>
      <t xml:space="preserve">[E19]</t>
    </r>
  </si>
  <si>
    <t xml:space="preserve">TR-04, TR-07</t>
  </si>
  <si>
    <r>
      <rPr>
        <b val="true"/>
        <sz val="10"/>
        <color rgb="FF000000"/>
        <rFont val="Noto Sans CJK SC"/>
        <family val="2"/>
      </rPr>
      <t xml:space="preserve">현지
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판정</t>
    </r>
    <r>
      <rPr>
        <b val="true"/>
        <sz val="10"/>
        <color rgb="FF000000"/>
        <rFont val="Arial"/>
        <family val="0"/>
        <charset val="1"/>
      </rPr>
      <t xml:space="preserve">·</t>
    </r>
    <r>
      <rPr>
        <b val="true"/>
        <sz val="10"/>
        <color rgb="FF000000"/>
        <rFont val="Noto Sans CJK SC"/>
        <family val="2"/>
      </rPr>
      <t xml:space="preserve">계산</t>
    </r>
    <r>
      <rPr>
        <b val="true"/>
        <sz val="10"/>
        <color rgb="FF000000"/>
        <rFont val="Arial"/>
        <family val="0"/>
        <charset val="1"/>
      </rPr>
      <t xml:space="preserve">·</t>
    </r>
    <r>
      <rPr>
        <b val="true"/>
        <sz val="10"/>
        <color rgb="FF000000"/>
        <rFont val="Noto Sans CJK SC"/>
        <family val="2"/>
      </rPr>
      <t xml:space="preserve">감시</t>
    </r>
    <r>
      <rPr>
        <b val="true"/>
        <sz val="10"/>
        <color rgb="FF000000"/>
        <rFont val="Arial"/>
        <family val="0"/>
        <charset val="1"/>
      </rPr>
      <t xml:space="preserve">, </t>
    </r>
    <r>
      <rPr>
        <b val="true"/>
        <sz val="10"/>
        <color rgb="FF000000"/>
        <rFont val="Noto Sans CJK SC"/>
        <family val="2"/>
      </rPr>
      <t xml:space="preserve">통합 빌드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</si>
  <si>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접촉과 모서리 판정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좌표를 형상으로 계산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정확도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저장소와 일일 통합 관리</t>
    </r>
  </si>
  <si>
    <r>
      <rPr>
        <sz val="10"/>
        <color rgb="FF000000"/>
        <rFont val="Arial"/>
        <family val="0"/>
        <charset val="1"/>
      </rPr>
      <t xml:space="preserve">contact_detector: robot_force</t>
    </r>
    <r>
      <rPr>
        <sz val="10"/>
        <color rgb="FF000000"/>
        <rFont val="Noto Sans CJK SC"/>
        <family val="2"/>
      </rPr>
      <t xml:space="preserve">와 </t>
    </r>
    <r>
      <rPr>
        <sz val="10"/>
        <color rgb="FF000000"/>
        <rFont val="Arial"/>
        <family val="0"/>
        <charset val="1"/>
      </rPr>
      <t xml:space="preserve">sim, </t>
    </r>
    <r>
      <rPr>
        <sz val="10"/>
        <color rgb="FF000000"/>
        <rFont val="Noto Sans CJK SC"/>
        <family val="2"/>
      </rPr>
      <t xml:space="preserve">영점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임계</t>
    </r>
    <r>
      <rPr>
        <sz val="10"/>
        <color rgb="FF000000"/>
        <rFont val="Arial"/>
        <family val="0"/>
        <charset val="1"/>
      </rPr>
      <t xml:space="preserve">·z </t>
    </r>
    <r>
      <rPr>
        <sz val="10"/>
        <color rgb="FF000000"/>
        <rFont val="Noto Sans CJK SC"/>
        <family val="2"/>
      </rPr>
      <t xml:space="preserve">급강하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디바운스
</t>
    </r>
    <r>
      <rPr>
        <sz val="10"/>
        <color rgb="FF000000"/>
        <rFont val="Arial"/>
        <family val="0"/>
        <charset val="1"/>
      </rPr>
      <t xml:space="preserve">geometry_estimator </t>
    </r>
    <r>
      <rPr>
        <sz val="10"/>
        <color rgb="FF000000"/>
        <rFont val="Noto Sans CJK SC"/>
        <family val="2"/>
      </rPr>
      <t xml:space="preserve">모듈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꼭짓점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외곽 엣지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경로 후보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편향 보정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비정상 검출
</t>
    </r>
    <r>
      <rPr>
        <sz val="10"/>
        <color rgb="FF000000"/>
        <rFont val="Arial"/>
        <family val="0"/>
        <charset val="1"/>
      </rPr>
      <t xml:space="preserve">safety_monitor
</t>
    </r>
    <r>
      <rPr>
        <sz val="10"/>
        <color rgb="FF000000"/>
        <rFont val="Noto Sans CJK SC"/>
        <family val="2"/>
      </rPr>
      <t xml:space="preserve">저장소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브랜치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일일 통합 빌드 관리</t>
    </r>
  </si>
  <si>
    <t xml:space="preserve">TR-01, TR-02, TR-03</t>
  </si>
  <si>
    <r>
      <rPr>
        <b val="true"/>
        <sz val="10"/>
        <color rgb="FF000000"/>
        <rFont val="Noto Sans CJK SC"/>
        <family val="2"/>
      </rPr>
      <t xml:space="preserve">병후
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순서</t>
    </r>
    <r>
      <rPr>
        <b val="true"/>
        <sz val="10"/>
        <color rgb="FF000000"/>
        <rFont val="Arial"/>
        <family val="0"/>
        <charset val="1"/>
      </rPr>
      <t xml:space="preserve">·</t>
    </r>
    <r>
      <rPr>
        <b val="true"/>
        <sz val="10"/>
        <color rgb="FF000000"/>
        <rFont val="Noto Sans CJK SC"/>
        <family val="2"/>
      </rPr>
      <t xml:space="preserve">상태</t>
    </r>
    <r>
      <rPr>
        <b val="true"/>
        <sz val="10"/>
        <color rgb="FF000000"/>
        <rFont val="Arial"/>
        <family val="0"/>
        <charset val="1"/>
      </rPr>
      <t xml:space="preserve">·</t>
    </r>
    <r>
      <rPr>
        <b val="true"/>
        <sz val="10"/>
        <color rgb="FF000000"/>
        <rFont val="Noto Sans CJK SC"/>
        <family val="2"/>
      </rPr>
      <t xml:space="preserve">연동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</si>
  <si>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전체 시퀀스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중지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안전복귀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재시작</t>
    </r>
    <r>
      <rPr>
        <sz val="10"/>
        <color rgb="FF000000"/>
        <rFont val="Arial"/>
        <family val="0"/>
        <charset val="1"/>
      </rPr>
      <t xml:space="preserve">, ROS</t>
    </r>
    <r>
      <rPr>
        <sz val="10"/>
        <color rgb="FF000000"/>
        <rFont val="Noto Sans CJK SC"/>
        <family val="2"/>
      </rPr>
      <t xml:space="preserve">와 웹의 경계</t>
    </r>
  </si>
  <si>
    <r>
      <rPr>
        <sz val="10"/>
        <color rgb="FF000000"/>
        <rFont val="Arial"/>
        <family val="0"/>
        <charset val="1"/>
      </rPr>
      <t xml:space="preserve">contact_scan_interfaces </t>
    </r>
    <r>
      <rPr>
        <sz val="10"/>
        <color rgb="FF000000"/>
        <rFont val="Noto Sans CJK SC"/>
        <family val="2"/>
      </rPr>
      <t xml:space="preserve">패키지
</t>
    </r>
    <r>
      <rPr>
        <sz val="10"/>
        <color rgb="FF000000"/>
        <rFont val="Arial"/>
        <family val="0"/>
        <charset val="1"/>
      </rPr>
      <t xml:space="preserve">scan_manager </t>
    </r>
    <r>
      <rPr>
        <sz val="10"/>
        <color rgb="FF000000"/>
        <rFont val="Noto Sans CJK SC"/>
        <family val="2"/>
      </rPr>
      <t xml:space="preserve">상태 기계
</t>
    </r>
    <r>
      <rPr>
        <sz val="10"/>
        <color rgb="FF000000"/>
        <rFont val="Arial"/>
        <family val="0"/>
        <charset val="1"/>
      </rPr>
      <t xml:space="preserve">result_store
mqtt_bridge</t>
    </r>
  </si>
  <si>
    <t xml:space="preserve">TR-08, TR-09</t>
  </si>
  <si>
    <r>
      <rPr>
        <b val="true"/>
        <sz val="10"/>
        <color rgb="FF000000"/>
        <rFont val="Noto Sans CJK SC"/>
        <family val="2"/>
      </rPr>
      <t xml:space="preserve">의석
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관제 웹 전체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</si>
  <si>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화면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명령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저장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이력</t>
    </r>
  </si>
  <si>
    <r>
      <rPr>
        <sz val="10"/>
        <color rgb="FF000000"/>
        <rFont val="Arial"/>
        <family val="0"/>
        <charset val="1"/>
      </rPr>
      <t xml:space="preserve">Mosquitto
FastAPI: MQTT↔WebSocket, </t>
    </r>
    <r>
      <rPr>
        <sz val="10"/>
        <color rgb="FF000000"/>
        <rFont val="Noto Sans CJK SC"/>
        <family val="2"/>
      </rPr>
      <t xml:space="preserve">명령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측정 </t>
    </r>
    <r>
      <rPr>
        <sz val="10"/>
        <color rgb="FF000000"/>
        <rFont val="Arial"/>
        <family val="0"/>
        <charset val="1"/>
      </rPr>
      <t xml:space="preserve">DB </t>
    </r>
    <r>
      <rPr>
        <sz val="10"/>
        <color rgb="FF000000"/>
        <rFont val="Noto Sans CJK SC"/>
        <family val="2"/>
      </rPr>
      <t xml:space="preserve">쓰기
</t>
    </r>
    <r>
      <rPr>
        <sz val="10"/>
        <color rgb="FF000000"/>
        <rFont val="Arial"/>
        <family val="0"/>
        <charset val="1"/>
      </rPr>
      <t xml:space="preserve">PostgreSQL
Spring Boot: </t>
    </r>
    <r>
      <rPr>
        <sz val="10"/>
        <color rgb="FF000000"/>
        <rFont val="Noto Sans CJK SC"/>
        <family val="2"/>
      </rPr>
      <t xml:space="preserve">업무 관리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이력 조회
</t>
    </r>
    <r>
      <rPr>
        <sz val="10"/>
        <color rgb="FF000000"/>
        <rFont val="Arial"/>
        <family val="0"/>
        <charset val="1"/>
      </rPr>
      <t xml:space="preserve">React·Three.js: 3D, 4</t>
    </r>
    <r>
      <rPr>
        <sz val="10"/>
        <color rgb="FF000000"/>
        <rFont val="Noto Sans CJK SC"/>
        <family val="2"/>
      </rPr>
      <t xml:space="preserve">버튼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로그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단계 표시</t>
    </r>
  </si>
  <si>
    <t xml:space="preserve">TR-05, TR-10</t>
  </si>
  <si>
    <t xml:space="preserve">역할 경계 메모</t>
  </si>
  <si>
    <r>
      <rPr>
        <sz val="10"/>
        <color rgb="FF000000"/>
        <rFont val="Arial"/>
        <family val="0"/>
        <charset val="1"/>
      </rPr>
      <t xml:space="preserve">• mqtt_bridge</t>
    </r>
    <r>
      <rPr>
        <sz val="10"/>
        <color rgb="FF000000"/>
        <rFont val="Noto Sans CJK SC"/>
        <family val="2"/>
      </rPr>
      <t xml:space="preserve">는 병후가 맡는다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의석과 </t>
    </r>
    <r>
      <rPr>
        <sz val="10"/>
        <color rgb="FF000000"/>
        <rFont val="Arial"/>
        <family val="0"/>
        <charset val="1"/>
      </rPr>
      <t xml:space="preserve">ROS </t>
    </r>
    <r>
      <rPr>
        <sz val="10"/>
        <color rgb="FF000000"/>
        <rFont val="Noto Sans CJK SC"/>
        <family val="2"/>
      </rPr>
      <t xml:space="preserve">쪽의 접점은 </t>
    </r>
    <r>
      <rPr>
        <sz val="10"/>
        <color rgb="FF000000"/>
        <rFont val="Arial"/>
        <family val="0"/>
        <charset val="1"/>
      </rPr>
      <t xml:space="preserve">MQTT </t>
    </r>
    <r>
      <rPr>
        <sz val="10"/>
        <color rgb="FF000000"/>
        <rFont val="Noto Sans CJK SC"/>
        <family val="2"/>
      </rPr>
      <t xml:space="preserve">토픽</t>
    </r>
    <r>
      <rPr>
        <sz val="10"/>
        <color rgb="FF000000"/>
        <rFont val="Arial"/>
        <family val="0"/>
        <charset val="1"/>
      </rPr>
      <t xml:space="preserve">·JSON </t>
    </r>
    <r>
      <rPr>
        <sz val="10"/>
        <color rgb="FF000000"/>
        <rFont val="Noto Sans CJK SC"/>
        <family val="2"/>
      </rPr>
      <t xml:space="preserve">스키마 문서 한 장이다</t>
    </r>
    <r>
      <rPr>
        <sz val="10"/>
        <color rgb="FF000000"/>
        <rFont val="Arial"/>
        <family val="0"/>
        <charset val="1"/>
      </rPr>
      <t xml:space="preserve">.</t>
    </r>
  </si>
  <si>
    <r>
      <rPr>
        <sz val="10"/>
        <color rgb="FF000000"/>
        <rFont val="Noto Sans CJK SC"/>
        <family val="2"/>
      </rPr>
      <t xml:space="preserve">• 의석은 그 스키마대로 가짜 데이터를 발행하는 목업을 만들어 </t>
    </r>
    <r>
      <rPr>
        <sz val="10"/>
        <color rgb="FF000000"/>
        <rFont val="Arial"/>
        <family val="0"/>
        <charset val="1"/>
      </rPr>
      <t xml:space="preserve">ROS </t>
    </r>
    <r>
      <rPr>
        <sz val="10"/>
        <color rgb="FF000000"/>
        <rFont val="Noto Sans CJK SC"/>
        <family val="2"/>
      </rPr>
      <t xml:space="preserve">쪽 진행과 무관하게 개발한다</t>
    </r>
    <r>
      <rPr>
        <sz val="10"/>
        <color rgb="FF000000"/>
        <rFont val="Arial"/>
        <family val="0"/>
        <charset val="1"/>
      </rPr>
      <t xml:space="preserve">.</t>
    </r>
  </si>
  <si>
    <r>
      <rPr>
        <sz val="10"/>
        <color rgb="FF000000"/>
        <rFont val="Noto Sans CJK SC"/>
        <family val="2"/>
      </rPr>
      <t xml:space="preserve">• 현지는 매일 저녁 </t>
    </r>
    <r>
      <rPr>
        <sz val="10"/>
        <color rgb="FF000000"/>
        <rFont val="Arial"/>
        <family val="0"/>
        <charset val="1"/>
      </rPr>
      <t xml:space="preserve">main </t>
    </r>
    <r>
      <rPr>
        <sz val="10"/>
        <color rgb="FF000000"/>
        <rFont val="Noto Sans CJK SC"/>
        <family val="2"/>
      </rPr>
      <t xml:space="preserve">병합과 </t>
    </r>
    <r>
      <rPr>
        <sz val="10"/>
        <color rgb="FF000000"/>
        <rFont val="Arial"/>
        <family val="0"/>
        <charset val="1"/>
      </rPr>
      <t xml:space="preserve">sim </t>
    </r>
    <r>
      <rPr>
        <sz val="10"/>
        <color rgb="FF000000"/>
        <rFont val="Noto Sans CJK SC"/>
        <family val="2"/>
      </rPr>
      <t xml:space="preserve">종단 실행을 주관한다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인터페이스 패키지 자체는 병후 소유다</t>
    </r>
    <r>
      <rPr>
        <sz val="10"/>
        <color rgb="FF000000"/>
        <rFont val="Arial"/>
        <family val="0"/>
        <charset val="1"/>
      </rPr>
      <t xml:space="preserve">.</t>
    </r>
  </si>
  <si>
    <r>
      <rPr>
        <b val="true"/>
        <sz val="11"/>
        <color rgb="FF1F3864"/>
        <rFont val="Noto Sans CJK SC"/>
        <family val="2"/>
      </rPr>
      <t xml:space="preserve">진행 현황 </t>
    </r>
    <r>
      <rPr>
        <b val="true"/>
        <sz val="11"/>
        <color rgb="FF1F3864"/>
        <rFont val="Arial"/>
        <family val="0"/>
        <charset val="1"/>
      </rPr>
      <t xml:space="preserve">(‘</t>
    </r>
    <r>
      <rPr>
        <b val="true"/>
        <sz val="11"/>
        <color rgb="FF1F3864"/>
        <rFont val="Noto Sans CJK SC"/>
        <family val="2"/>
      </rPr>
      <t xml:space="preserve">작업 목록’ 시트의 상태 열에서 자동 집계</t>
    </r>
    <r>
      <rPr>
        <b val="true"/>
        <sz val="11"/>
        <color rgb="FF1F3864"/>
        <rFont val="Arial"/>
        <family val="0"/>
        <charset val="1"/>
      </rPr>
      <t xml:space="preserve">)</t>
    </r>
  </si>
  <si>
    <t xml:space="preserve">전체 작업 수</t>
  </si>
  <si>
    <t xml:space="preserve">완료 작업 수</t>
  </si>
  <si>
    <t xml:space="preserve">진행률</t>
  </si>
  <si>
    <t xml:space="preserve">학민</t>
  </si>
  <si>
    <t xml:space="preserve">현지</t>
  </si>
  <si>
    <t xml:space="preserve">병후</t>
  </si>
  <si>
    <t xml:space="preserve">의석</t>
  </si>
  <si>
    <t xml:space="preserve">팀 전체</t>
  </si>
  <si>
    <r>
      <rPr>
        <i val="true"/>
        <sz val="9"/>
        <color rgb="FF595959"/>
        <rFont val="Noto Sans CJK SC"/>
        <family val="2"/>
      </rPr>
      <t xml:space="preserve">※ ‘전원’ 작업은 네 명 모두의 작업 수에 포함된다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공동 작업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예</t>
    </r>
    <r>
      <rPr>
        <i val="true"/>
        <sz val="9"/>
        <color rgb="FF595959"/>
        <rFont val="Arial"/>
        <family val="0"/>
        <charset val="1"/>
      </rPr>
      <t xml:space="preserve">: </t>
    </r>
    <r>
      <rPr>
        <i val="true"/>
        <sz val="9"/>
        <color rgb="FF595959"/>
        <rFont val="Noto Sans CJK SC"/>
        <family val="2"/>
      </rPr>
      <t xml:space="preserve">학민</t>
    </r>
    <r>
      <rPr>
        <i val="true"/>
        <sz val="9"/>
        <color rgb="FF595959"/>
        <rFont val="Arial"/>
        <family val="0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현지</t>
    </r>
    <r>
      <rPr>
        <i val="true"/>
        <sz val="9"/>
        <color rgb="FF595959"/>
        <rFont val="Arial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은 양쪽에 각각 집계된다</t>
    </r>
    <r>
      <rPr>
        <i val="true"/>
        <sz val="9"/>
        <color rgb="FF595959"/>
        <rFont val="Arial"/>
        <family val="0"/>
        <charset val="1"/>
      </rPr>
      <t xml:space="preserve">.</t>
    </r>
  </si>
  <si>
    <t xml:space="preserve">일자별 일정</t>
  </si>
  <si>
    <r>
      <rPr>
        <i val="true"/>
        <sz val="9"/>
        <color rgb="FF595959"/>
        <rFont val="Noto Sans CJK SC"/>
        <family val="2"/>
      </rPr>
      <t xml:space="preserve">매일 아침 </t>
    </r>
    <r>
      <rPr>
        <i val="true"/>
        <sz val="9"/>
        <color rgb="FF595959"/>
        <rFont val="Arial"/>
        <family val="0"/>
        <charset val="1"/>
      </rPr>
      <t xml:space="preserve">15</t>
    </r>
    <r>
      <rPr>
        <i val="true"/>
        <sz val="9"/>
        <color rgb="FF595959"/>
        <rFont val="Noto Sans CJK SC"/>
        <family val="2"/>
      </rPr>
      <t xml:space="preserve">분 스탠드업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저녁에는 </t>
    </r>
    <r>
      <rPr>
        <i val="true"/>
        <sz val="9"/>
        <color rgb="FF595959"/>
        <rFont val="Arial"/>
        <family val="0"/>
        <charset val="1"/>
      </rPr>
      <t xml:space="preserve">main</t>
    </r>
    <r>
      <rPr>
        <i val="true"/>
        <sz val="9"/>
        <color rgb="FF595959"/>
        <rFont val="Noto Sans CJK SC"/>
        <family val="2"/>
      </rPr>
      <t xml:space="preserve">에 병합해서 </t>
    </r>
    <r>
      <rPr>
        <i val="true"/>
        <sz val="9"/>
        <color rgb="FF595959"/>
        <rFont val="Arial"/>
        <family val="0"/>
        <charset val="1"/>
      </rPr>
      <t xml:space="preserve">sim</t>
    </r>
    <r>
      <rPr>
        <i val="true"/>
        <sz val="9"/>
        <color rgb="FF595959"/>
        <rFont val="Noto Sans CJK SC"/>
        <family val="2"/>
      </rPr>
      <t xml:space="preserve">으로 종단 실행을 한 번 돌린다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현지 주관</t>
    </r>
    <r>
      <rPr>
        <i val="true"/>
        <sz val="9"/>
        <color rgb="FF595959"/>
        <rFont val="Arial"/>
        <family val="0"/>
        <charset val="1"/>
      </rPr>
      <t xml:space="preserve">).</t>
    </r>
  </si>
  <si>
    <t xml:space="preserve">일자</t>
  </si>
  <si>
    <t xml:space="preserve">주제</t>
  </si>
  <si>
    <t xml:space="preserve">마일스톤</t>
  </si>
  <si>
    <r>
      <rPr>
        <b val="true"/>
        <sz val="10"/>
        <color rgb="FF000000"/>
        <rFont val="Arial"/>
        <family val="0"/>
        <charset val="1"/>
      </rPr>
      <t xml:space="preserve">Day 1
9/18(</t>
    </r>
    <r>
      <rPr>
        <b val="true"/>
        <sz val="10"/>
        <color rgb="FF000000"/>
        <rFont val="Noto Sans CJK SC"/>
        <family val="2"/>
      </rPr>
      <t xml:space="preserve">금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</si>
  <si>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color rgb="FF000000"/>
        <rFont val="Noto Sans CJK SC"/>
        <family val="2"/>
      </rPr>
      <t xml:space="preserve">계약 동결</t>
    </r>
    <r>
      <rPr>
        <b val="true"/>
        <sz val="10"/>
        <color rgb="FF000000"/>
        <rFont val="Arial"/>
        <family val="0"/>
        <charset val="1"/>
      </rPr>
      <t xml:space="preserve">, </t>
    </r>
    <r>
      <rPr>
        <b val="true"/>
        <sz val="10"/>
        <color rgb="FF000000"/>
        <rFont val="Noto Sans CJK SC"/>
        <family val="2"/>
      </rPr>
      <t xml:space="preserve">골격</t>
    </r>
    <r>
      <rPr>
        <b val="true"/>
        <sz val="10"/>
        <color rgb="FF000000"/>
        <rFont val="Arial"/>
        <family val="0"/>
        <charset val="1"/>
      </rPr>
      <t xml:space="preserve">, </t>
    </r>
    <r>
      <rPr>
        <b val="true"/>
        <sz val="10"/>
        <color rgb="FF000000"/>
        <rFont val="Noto Sans CJK SC"/>
        <family val="2"/>
      </rPr>
      <t xml:space="preserve">환경 세팅</t>
    </r>
  </si>
  <si>
    <r>
      <rPr>
        <sz val="10"/>
        <color rgb="FF000000"/>
        <rFont val="Arial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전원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첫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시간</t>
    </r>
    <r>
      <rPr>
        <sz val="10"/>
        <color rgb="FF000000"/>
        <rFont val="Arial"/>
        <family val="0"/>
        <charset val="1"/>
      </rPr>
      <t xml:space="preserve">] </t>
    </r>
    <r>
      <rPr>
        <sz val="10"/>
        <color rgb="FF000000"/>
        <rFont val="Noto Sans CJK SC"/>
        <family val="2"/>
      </rPr>
      <t xml:space="preserve">인터페이스 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Noto Sans CJK SC"/>
        <family val="2"/>
      </rPr>
      <t xml:space="preserve">동결 회의
• </t>
    </r>
    <r>
      <rPr>
        <sz val="10"/>
        <color rgb="FF000000"/>
        <rFont val="Arial"/>
        <family val="0"/>
        <charset val="1"/>
      </rPr>
      <t xml:space="preserve">sodreal</t>
    </r>
    <r>
      <rPr>
        <sz val="10"/>
        <color rgb="FF000000"/>
        <rFont val="Noto Sans CJK SC"/>
        <family val="2"/>
      </rPr>
      <t xml:space="preserve">로 실기 연결
• 툴 무게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무게중심</t>
    </r>
    <r>
      <rPr>
        <sz val="10"/>
        <color rgb="FF000000"/>
        <rFont val="Arial"/>
        <family val="0"/>
        <charset val="1"/>
      </rPr>
      <t xml:space="preserve">·TCP </t>
    </r>
    <r>
      <rPr>
        <sz val="10"/>
        <color rgb="FF000000"/>
        <rFont val="Noto Sans CJK SC"/>
        <family val="2"/>
      </rPr>
      <t xml:space="preserve">등록
• 작업대 원점</t>
    </r>
    <r>
      <rPr>
        <sz val="10"/>
        <color rgb="FF000000"/>
        <rFont val="Arial"/>
        <family val="0"/>
        <charset val="1"/>
      </rPr>
      <t xml:space="preserve">, z=0, </t>
    </r>
    <r>
      <rPr>
        <sz val="10"/>
        <color rgb="FF000000"/>
        <rFont val="Noto Sans CJK SC"/>
        <family val="2"/>
      </rPr>
      <t xml:space="preserve">홈 자세 확정
•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호출 성공 여부 항목별 기록 </t>
    </r>
    <r>
      <rPr>
        <sz val="10"/>
        <color rgb="FF000000"/>
        <rFont val="Arial"/>
        <family val="0"/>
        <charset val="1"/>
      </rPr>
      <t xml:space="preserve">(get_tool_force, move_stop, task_compliance_ctrl, set_desired_force, drl_script_run)</t>
    </r>
  </si>
  <si>
    <r>
      <rPr>
        <sz val="10"/>
        <color rgb="FF000000"/>
        <rFont val="Arial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전원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첫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시간</t>
    </r>
    <r>
      <rPr>
        <sz val="10"/>
        <color rgb="FF000000"/>
        <rFont val="Arial"/>
        <family val="0"/>
        <charset val="1"/>
      </rPr>
      <t xml:space="preserve">] </t>
    </r>
    <r>
      <rPr>
        <sz val="10"/>
        <color rgb="FF000000"/>
        <rFont val="Noto Sans CJK SC"/>
        <family val="2"/>
      </rPr>
      <t xml:space="preserve">인터페이스 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Noto Sans CJK SC"/>
        <family val="2"/>
      </rPr>
      <t xml:space="preserve">동결 회의
• 저장소 구조</t>
    </r>
    <r>
      <rPr>
        <sz val="10"/>
        <color rgb="FF000000"/>
        <rFont val="Arial"/>
        <family val="0"/>
        <charset val="1"/>
      </rPr>
      <t xml:space="preserve">(ws_cobot1/src)</t>
    </r>
    <r>
      <rPr>
        <sz val="10"/>
        <color rgb="FF000000"/>
        <rFont val="Noto Sans CJK SC"/>
        <family val="2"/>
      </rPr>
      <t xml:space="preserve">와 브랜치 규칙 수립
• </t>
    </r>
    <r>
      <rPr>
        <sz val="10"/>
        <color rgb="FF000000"/>
        <rFont val="Arial"/>
        <family val="0"/>
        <charset val="1"/>
      </rPr>
      <t xml:space="preserve">contact_detector </t>
    </r>
    <r>
      <rPr>
        <sz val="10"/>
        <color rgb="FF000000"/>
        <rFont val="Noto Sans CJK SC"/>
        <family val="2"/>
      </rPr>
      <t xml:space="preserve">골격
• </t>
    </r>
    <r>
      <rPr>
        <sz val="10"/>
        <color rgb="FF000000"/>
        <rFont val="Arial"/>
        <family val="0"/>
        <charset val="1"/>
      </rPr>
      <t xml:space="preserve">sim </t>
    </r>
    <r>
      <rPr>
        <sz val="10"/>
        <color rgb="FF000000"/>
        <rFont val="Noto Sans CJK SC"/>
        <family val="2"/>
      </rPr>
      <t xml:space="preserve">입력원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가상 직육면체</t>
    </r>
    <r>
      <rPr>
        <sz val="10"/>
        <color rgb="FF000000"/>
        <rFont val="Arial"/>
        <family val="0"/>
        <charset val="1"/>
      </rPr>
      <t xml:space="preserve">)
• </t>
    </r>
    <r>
      <rPr>
        <sz val="10"/>
        <color rgb="FF000000"/>
        <rFont val="Noto Sans CJK SC"/>
        <family val="2"/>
      </rPr>
      <t xml:space="preserve">학민과 실기에서 무접촉 외력 잡음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수집 주기 측정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약 </t>
    </r>
    <r>
      <rPr>
        <sz val="10"/>
        <color rgb="FF000000"/>
        <rFont val="Arial"/>
        <family val="0"/>
        <charset val="1"/>
      </rPr>
      <t xml:space="preserve">30</t>
    </r>
    <r>
      <rPr>
        <sz val="10"/>
        <color rgb="FF000000"/>
        <rFont val="Noto Sans CJK SC"/>
        <family val="2"/>
      </rPr>
      <t xml:space="preserve">분</t>
    </r>
    <r>
      <rPr>
        <sz val="10"/>
        <color rgb="FF000000"/>
        <rFont val="Arial"/>
        <family val="0"/>
        <charset val="1"/>
      </rPr>
      <t xml:space="preserve">)
• </t>
    </r>
    <r>
      <rPr>
        <sz val="10"/>
        <color rgb="FF000000"/>
        <rFont val="Noto Sans CJK SC"/>
        <family val="2"/>
      </rPr>
      <t xml:space="preserve">저녁 통합 빌드 주관</t>
    </r>
  </si>
  <si>
    <r>
      <rPr>
        <sz val="10"/>
        <color rgb="FF000000"/>
        <rFont val="Arial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전원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첫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시간</t>
    </r>
    <r>
      <rPr>
        <sz val="10"/>
        <color rgb="FF000000"/>
        <rFont val="Arial"/>
        <family val="0"/>
        <charset val="1"/>
      </rPr>
      <t xml:space="preserve">] </t>
    </r>
    <r>
      <rPr>
        <sz val="10"/>
        <color rgb="FF000000"/>
        <rFont val="Noto Sans CJK SC"/>
        <family val="2"/>
      </rPr>
      <t xml:space="preserve">인터페이스 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Noto Sans CJK SC"/>
        <family val="2"/>
      </rPr>
      <t xml:space="preserve">동결 회의
• </t>
    </r>
    <r>
      <rPr>
        <sz val="10"/>
        <color rgb="FF000000"/>
        <rFont val="Arial"/>
        <family val="0"/>
        <charset val="1"/>
      </rPr>
      <t xml:space="preserve">contact_scan_interfaces </t>
    </r>
    <r>
      <rPr>
        <sz val="10"/>
        <color rgb="FF000000"/>
        <rFont val="Noto Sans CJK SC"/>
        <family val="2"/>
      </rPr>
      <t xml:space="preserve">패키지 빌드
• </t>
    </r>
    <r>
      <rPr>
        <sz val="10"/>
        <color rgb="FF000000"/>
        <rFont val="Arial"/>
        <family val="0"/>
        <charset val="1"/>
      </rPr>
      <t xml:space="preserve">scan_manager </t>
    </r>
    <r>
      <rPr>
        <sz val="10"/>
        <color rgb="FF000000"/>
        <rFont val="Noto Sans CJK SC"/>
        <family val="2"/>
      </rPr>
      <t xml:space="preserve">상태 기계 골격</t>
    </r>
  </si>
  <si>
    <r>
      <rPr>
        <sz val="10"/>
        <color rgb="FF000000"/>
        <rFont val="Arial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전원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첫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시간</t>
    </r>
    <r>
      <rPr>
        <sz val="10"/>
        <color rgb="FF000000"/>
        <rFont val="Arial"/>
        <family val="0"/>
        <charset val="1"/>
      </rPr>
      <t xml:space="preserve">] </t>
    </r>
    <r>
      <rPr>
        <sz val="10"/>
        <color rgb="FF000000"/>
        <rFont val="Noto Sans CJK SC"/>
        <family val="2"/>
      </rPr>
      <t xml:space="preserve">인터페이스 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Noto Sans CJK SC"/>
        <family val="2"/>
      </rPr>
      <t xml:space="preserve">동결 회의
• 웹 </t>
    </r>
    <r>
      <rPr>
        <sz val="10"/>
        <color rgb="FF000000"/>
        <rFont val="Arial"/>
        <family val="0"/>
        <charset val="1"/>
      </rPr>
      <t xml:space="preserve">PC</t>
    </r>
    <r>
      <rPr>
        <sz val="10"/>
        <color rgb="FF000000"/>
        <rFont val="Noto Sans CJK SC"/>
        <family val="2"/>
      </rPr>
      <t xml:space="preserve">에 </t>
    </r>
    <r>
      <rPr>
        <sz val="10"/>
        <color rgb="FF000000"/>
        <rFont val="Arial"/>
        <family val="0"/>
        <charset val="1"/>
      </rPr>
      <t xml:space="preserve">docker-compose</t>
    </r>
    <r>
      <rPr>
        <sz val="10"/>
        <color rgb="FF000000"/>
        <rFont val="Noto Sans CJK SC"/>
        <family val="2"/>
      </rPr>
      <t xml:space="preserve">로 </t>
    </r>
    <r>
      <rPr>
        <sz val="10"/>
        <color rgb="FF000000"/>
        <rFont val="Arial"/>
        <family val="0"/>
        <charset val="1"/>
      </rPr>
      <t xml:space="preserve">Mosquitto, PostgreSQL, FastAPI, Spring Boot </t>
    </r>
    <r>
      <rPr>
        <sz val="10"/>
        <color rgb="FF000000"/>
        <rFont val="Noto Sans CJK SC"/>
        <family val="2"/>
      </rPr>
      <t xml:space="preserve">골격 기동
• </t>
    </r>
    <r>
      <rPr>
        <sz val="10"/>
        <color rgb="FF000000"/>
        <rFont val="Arial"/>
        <family val="0"/>
        <charset val="1"/>
      </rPr>
      <t xml:space="preserve">React·Three.js </t>
    </r>
    <r>
      <rPr>
        <sz val="10"/>
        <color rgb="FF000000"/>
        <rFont val="Noto Sans CJK SC"/>
        <family val="2"/>
      </rPr>
      <t xml:space="preserve">프로젝트 골격
• </t>
    </r>
    <r>
      <rPr>
        <sz val="10"/>
        <color rgb="FF000000"/>
        <rFont val="Arial"/>
        <family val="0"/>
        <charset val="1"/>
      </rPr>
      <t xml:space="preserve">MQTT </t>
    </r>
    <r>
      <rPr>
        <sz val="10"/>
        <color rgb="FF000000"/>
        <rFont val="Noto Sans CJK SC"/>
        <family val="2"/>
      </rPr>
      <t xml:space="preserve">목업 발행기</t>
    </r>
  </si>
  <si>
    <r>
      <rPr>
        <sz val="10"/>
        <color rgb="FF000000"/>
        <rFont val="Arial"/>
        <family val="0"/>
        <charset val="1"/>
      </rPr>
      <t xml:space="preserve">M1
• </t>
    </r>
    <r>
      <rPr>
        <sz val="10"/>
        <color rgb="FF000000"/>
        <rFont val="Noto Sans CJK SC"/>
        <family val="2"/>
      </rPr>
      <t xml:space="preserve">인터페이스 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Noto Sans CJK SC"/>
        <family val="2"/>
      </rPr>
      <t xml:space="preserve">동결
• 전 노드 빈 껍데기 빌드 통과
• 좌표 기준 확정
시간이 부족해도 인터페이스 동결과 </t>
    </r>
    <r>
      <rPr>
        <sz val="10"/>
        <color rgb="FF000000"/>
        <rFont val="Arial"/>
        <family val="0"/>
        <charset val="1"/>
      </rPr>
      <t xml:space="preserve">TCP·</t>
    </r>
    <r>
      <rPr>
        <sz val="10"/>
        <color rgb="FF000000"/>
        <rFont val="Noto Sans CJK SC"/>
        <family val="2"/>
      </rPr>
      <t xml:space="preserve">툴 무게 등록은 오늘 끝낸다</t>
    </r>
    <r>
      <rPr>
        <sz val="10"/>
        <color rgb="FF000000"/>
        <rFont val="Arial"/>
        <family val="0"/>
        <charset val="1"/>
      </rPr>
      <t xml:space="preserve">.</t>
    </r>
  </si>
  <si>
    <r>
      <rPr>
        <b val="true"/>
        <sz val="10"/>
        <color rgb="FF000000"/>
        <rFont val="Arial"/>
        <family val="0"/>
        <charset val="1"/>
      </rPr>
      <t xml:space="preserve">Day 2
9/19(</t>
    </r>
    <r>
      <rPr>
        <b val="true"/>
        <sz val="10"/>
        <color rgb="FF000000"/>
        <rFont val="Noto Sans CJK SC"/>
        <family val="2"/>
      </rPr>
      <t xml:space="preserve">토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</si>
  <si>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color rgb="FF000000"/>
        <rFont val="Arial"/>
        <family val="0"/>
        <charset val="1"/>
      </rPr>
      <t xml:space="preserve">sim </t>
    </r>
    <r>
      <rPr>
        <b val="true"/>
        <sz val="10"/>
        <color rgb="FF000000"/>
        <rFont val="Noto Sans CJK SC"/>
        <family val="2"/>
      </rPr>
      <t xml:space="preserve">종단 흐름</t>
    </r>
  </si>
  <si>
    <r>
      <rPr>
        <sz val="10"/>
        <color rgb="FF000000"/>
        <rFont val="Arial"/>
        <family val="0"/>
        <charset val="1"/>
      </rPr>
      <t xml:space="preserve">• execute_motion Action (</t>
    </r>
    <r>
      <rPr>
        <sz val="10"/>
        <color rgb="FF000000"/>
        <rFont val="Noto Sans CJK SC"/>
        <family val="2"/>
      </rPr>
      <t xml:space="preserve">하강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슬라이딩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원점 복귀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홈</t>
    </r>
    <r>
      <rPr>
        <sz val="10"/>
        <color rgb="FF000000"/>
        <rFont val="Arial"/>
        <family val="0"/>
        <charset val="1"/>
      </rPr>
      <t xml:space="preserve">)
• /robot/stop (move_stop)
• </t>
    </r>
    <r>
      <rPr>
        <sz val="10"/>
        <color rgb="FF000000"/>
        <rFont val="Noto Sans CJK SC"/>
        <family val="2"/>
      </rPr>
      <t xml:space="preserve">순응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힘 제어 </t>
    </r>
    <r>
      <rPr>
        <sz val="10"/>
        <color rgb="FF000000"/>
        <rFont val="Arial"/>
        <family val="0"/>
        <charset val="1"/>
      </rPr>
      <t xml:space="preserve">finally </t>
    </r>
    <r>
      <rPr>
        <sz val="10"/>
        <color rgb="FF000000"/>
        <rFont val="Noto Sans CJK SC"/>
        <family val="2"/>
      </rPr>
      <t xml:space="preserve">해제
• </t>
    </r>
    <r>
      <rPr>
        <sz val="10"/>
        <color rgb="FF000000"/>
        <rFont val="Arial"/>
        <family val="0"/>
        <charset val="1"/>
      </rPr>
      <t xml:space="preserve">RobotSample </t>
    </r>
    <r>
      <rPr>
        <sz val="10"/>
        <color rgb="FF000000"/>
        <rFont val="Noto Sans CJK SC"/>
        <family val="2"/>
      </rPr>
      <t xml:space="preserve">발행
• </t>
    </r>
    <r>
      <rPr>
        <sz val="10"/>
        <color rgb="FF000000"/>
        <rFont val="Arial"/>
        <family val="0"/>
        <charset val="1"/>
      </rPr>
      <t xml:space="preserve">Virtual Mode </t>
    </r>
    <r>
      <rPr>
        <sz val="10"/>
        <color rgb="FF000000"/>
        <rFont val="Noto Sans CJK SC"/>
        <family val="2"/>
      </rPr>
      <t xml:space="preserve">모션 검증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실제 발행 주기 측정</t>
    </r>
  </si>
  <si>
    <r>
      <rPr>
        <sz val="10"/>
        <color rgb="FF000000"/>
        <rFont val="Arial"/>
        <family val="0"/>
        <charset val="1"/>
      </rPr>
      <t xml:space="preserve">• contact_detector </t>
    </r>
    <r>
      <rPr>
        <sz val="10"/>
        <color rgb="FF000000"/>
        <rFont val="Noto Sans CJK SC"/>
        <family val="2"/>
      </rPr>
      <t xml:space="preserve">완성 </t>
    </r>
    <r>
      <rPr>
        <sz val="10"/>
        <color rgb="FF000000"/>
        <rFont val="Arial"/>
        <family val="0"/>
        <charset val="1"/>
      </rPr>
      <t xml:space="preserve">(tare·</t>
    </r>
    <r>
      <rPr>
        <sz val="10"/>
        <color rgb="FF000000"/>
        <rFont val="Noto Sans CJK SC"/>
        <family val="2"/>
      </rPr>
      <t xml:space="preserve">임계</t>
    </r>
    <r>
      <rPr>
        <sz val="10"/>
        <color rgb="FF000000"/>
        <rFont val="Arial"/>
        <family val="0"/>
        <charset val="1"/>
      </rPr>
      <t xml:space="preserve">·z </t>
    </r>
    <r>
      <rPr>
        <sz val="10"/>
        <color rgb="FF000000"/>
        <rFont val="Noto Sans CJK SC"/>
        <family val="2"/>
      </rPr>
      <t xml:space="preserve">급강하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디바운스 파라미터화</t>
    </r>
    <r>
      <rPr>
        <sz val="10"/>
        <color rgb="FF000000"/>
        <rFont val="Arial"/>
        <family val="0"/>
        <charset val="1"/>
      </rPr>
      <t xml:space="preserve">)
• geometry_estimator</t>
    </r>
    <r>
      <rPr>
        <sz val="10"/>
        <color rgb="FF000000"/>
        <rFont val="Noto Sans CJK SC"/>
        <family val="2"/>
      </rPr>
      <t xml:space="preserve">와 단위 테스트
• </t>
    </r>
    <r>
      <rPr>
        <sz val="10"/>
        <color rgb="FF000000"/>
        <rFont val="Arial"/>
        <family val="0"/>
        <charset val="1"/>
      </rPr>
      <t xml:space="preserve">safety_monitor </t>
    </r>
    <r>
      <rPr>
        <sz val="10"/>
        <color rgb="FF000000"/>
        <rFont val="Noto Sans CJK SC"/>
        <family val="2"/>
      </rPr>
      <t xml:space="preserve">최소판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과대 외력 </t>
    </r>
    <r>
      <rPr>
        <sz val="10"/>
        <color rgb="FF000000"/>
        <rFont val="Arial"/>
        <family val="0"/>
        <charset val="1"/>
      </rPr>
      <t xml:space="preserve">30 N, </t>
    </r>
    <r>
      <rPr>
        <sz val="10"/>
        <color rgb="FF000000"/>
        <rFont val="Noto Sans CJK SC"/>
        <family val="2"/>
      </rPr>
      <t xml:space="preserve">하강 제한 </t>
    </r>
    <r>
      <rPr>
        <sz val="10"/>
        <color rgb="FF000000"/>
        <rFont val="Arial"/>
        <family val="0"/>
        <charset val="1"/>
      </rPr>
      <t xml:space="preserve">5 mm</t>
    </r>
    <r>
      <rPr>
        <sz val="10"/>
        <color rgb="FF000000"/>
        <rFont val="Noto Sans CJK SC"/>
        <family val="2"/>
      </rPr>
      <t xml:space="preserve">에서 정지 요청</t>
    </r>
    <r>
      <rPr>
        <sz val="10"/>
        <color rgb="FF000000"/>
        <rFont val="Arial"/>
        <family val="0"/>
        <charset val="1"/>
      </rPr>
      <t xml:space="preserve">)
• </t>
    </r>
    <r>
      <rPr>
        <sz val="10"/>
        <color rgb="FF000000"/>
        <rFont val="Noto Sans CJK SC"/>
        <family val="2"/>
      </rPr>
      <t xml:space="preserve">저녁 통합 빌드 주관</t>
    </r>
  </si>
  <si>
    <r>
      <rPr>
        <sz val="10"/>
        <color rgb="FF000000"/>
        <rFont val="Arial"/>
        <family val="0"/>
        <charset val="1"/>
      </rPr>
      <t xml:space="preserve">• scan_manager </t>
    </r>
    <r>
      <rPr>
        <sz val="10"/>
        <color rgb="FF000000"/>
        <rFont val="Noto Sans CJK SC"/>
        <family val="2"/>
      </rPr>
      <t xml:space="preserve">전체 시퀀스를 </t>
    </r>
    <r>
      <rPr>
        <sz val="10"/>
        <color rgb="FF000000"/>
        <rFont val="Arial"/>
        <family val="0"/>
        <charset val="1"/>
      </rPr>
      <t xml:space="preserve">sim</t>
    </r>
    <r>
      <rPr>
        <sz val="10"/>
        <color rgb="FF000000"/>
        <rFont val="Noto Sans CJK SC"/>
        <family val="2"/>
      </rPr>
      <t xml:space="preserve">으로 구동
• </t>
    </r>
    <r>
      <rPr>
        <sz val="10"/>
        <color rgb="FF000000"/>
        <rFont val="Arial"/>
        <family val="0"/>
        <charset val="1"/>
      </rPr>
      <t xml:space="preserve">result_store </t>
    </r>
    <r>
      <rPr>
        <sz val="10"/>
        <color rgb="FF000000"/>
        <rFont val="Noto Sans CJK SC"/>
        <family val="2"/>
      </rPr>
      <t xml:space="preserve">로컬 기록
• </t>
    </r>
    <r>
      <rPr>
        <sz val="10"/>
        <color rgb="FF000000"/>
        <rFont val="Arial"/>
        <family val="0"/>
        <charset val="1"/>
      </rPr>
      <t xml:space="preserve">mqtt_bridge: </t>
    </r>
    <r>
      <rPr>
        <sz val="10"/>
        <color rgb="FF000000"/>
        <rFont val="Noto Sans CJK SC"/>
        <family val="2"/>
      </rPr>
      <t xml:space="preserve">명령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종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상태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샘플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이벤트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결과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로그 발행</t>
    </r>
  </si>
  <si>
    <r>
      <rPr>
        <sz val="10"/>
        <color rgb="FF000000"/>
        <rFont val="Arial"/>
        <family val="0"/>
        <charset val="1"/>
      </rPr>
      <t xml:space="preserve">• FastAPI: MQTT </t>
    </r>
    <r>
      <rPr>
        <sz val="10"/>
        <color rgb="FF000000"/>
        <rFont val="Noto Sans CJK SC"/>
        <family val="2"/>
      </rPr>
      <t xml:space="preserve">구독→</t>
    </r>
    <r>
      <rPr>
        <sz val="10"/>
        <color rgb="FF000000"/>
        <rFont val="Arial"/>
        <family val="0"/>
        <charset val="1"/>
      </rPr>
      <t xml:space="preserve">WebSocket, </t>
    </r>
    <r>
      <rPr>
        <sz val="10"/>
        <color rgb="FF000000"/>
        <rFont val="Noto Sans CJK SC"/>
        <family val="2"/>
      </rPr>
      <t xml:space="preserve">명령 </t>
    </r>
    <r>
      <rPr>
        <sz val="10"/>
        <color rgb="FF000000"/>
        <rFont val="Arial"/>
        <family val="0"/>
        <charset val="1"/>
      </rPr>
      <t xml:space="preserve">REST→MQTT, </t>
    </r>
    <r>
      <rPr>
        <sz val="10"/>
        <color rgb="FF000000"/>
        <rFont val="Noto Sans CJK SC"/>
        <family val="2"/>
      </rPr>
      <t xml:space="preserve">접수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완료 구분
• 목업 데이터로 </t>
    </r>
    <r>
      <rPr>
        <sz val="10"/>
        <color rgb="FF000000"/>
        <rFont val="Arial"/>
        <family val="0"/>
        <charset val="1"/>
      </rPr>
      <t xml:space="preserve">3D </t>
    </r>
    <r>
      <rPr>
        <sz val="10"/>
        <color rgb="FF000000"/>
        <rFont val="Noto Sans CJK SC"/>
        <family val="2"/>
      </rPr>
      <t xml:space="preserve">뷰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작업대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팁 위치와 궤적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접촉점</t>
    </r>
    <r>
      <rPr>
        <sz val="10"/>
        <color rgb="FF000000"/>
        <rFont val="Arial"/>
        <family val="0"/>
        <charset val="1"/>
      </rPr>
      <t xml:space="preserve">)
• 4</t>
    </r>
    <r>
      <rPr>
        <sz val="10"/>
        <color rgb="FF000000"/>
        <rFont val="Noto Sans CJK SC"/>
        <family val="2"/>
      </rPr>
      <t xml:space="preserve">버튼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단계 표시</t>
    </r>
  </si>
  <si>
    <r>
      <rPr>
        <sz val="10"/>
        <color rgb="FF000000"/>
        <rFont val="Arial"/>
        <family val="0"/>
        <charset val="1"/>
      </rPr>
      <t xml:space="preserve">M2
• ROS: Virtual Mode</t>
    </r>
    <r>
      <rPr>
        <sz val="10"/>
        <color rgb="FF000000"/>
        <rFont val="Noto Sans CJK SC"/>
        <family val="2"/>
      </rPr>
      <t xml:space="preserve">와 </t>
    </r>
    <r>
      <rPr>
        <sz val="10"/>
        <color rgb="FF000000"/>
        <rFont val="Arial"/>
        <family val="0"/>
        <charset val="1"/>
      </rPr>
      <t xml:space="preserve">sim</t>
    </r>
    <r>
      <rPr>
        <sz val="10"/>
        <color rgb="FF000000"/>
        <rFont val="Noto Sans CJK SC"/>
        <family val="2"/>
      </rPr>
      <t xml:space="preserve">으로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점 탐색에서 직육면체 계산까지 통과
• 웹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목업 데이터로 </t>
    </r>
    <r>
      <rPr>
        <sz val="10"/>
        <color rgb="FF000000"/>
        <rFont val="Arial"/>
        <family val="0"/>
        <charset val="1"/>
      </rPr>
      <t xml:space="preserve">3D </t>
    </r>
    <r>
      <rPr>
        <sz val="10"/>
        <color rgb="FF000000"/>
        <rFont val="Noto Sans CJK SC"/>
        <family val="2"/>
      </rPr>
      <t xml:space="preserve">표시</t>
    </r>
  </si>
  <si>
    <r>
      <rPr>
        <b val="true"/>
        <sz val="10"/>
        <color rgb="FF000000"/>
        <rFont val="Arial"/>
        <family val="0"/>
        <charset val="1"/>
      </rPr>
      <t xml:space="preserve">Day 3
9/20(</t>
    </r>
    <r>
      <rPr>
        <b val="true"/>
        <sz val="10"/>
        <color rgb="FF000000"/>
        <rFont val="Noto Sans CJK SC"/>
        <family val="2"/>
      </rPr>
      <t xml:space="preserve">일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</si>
  <si>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color rgb="FF000000"/>
        <rFont val="Noto Sans CJK SC"/>
        <family val="2"/>
      </rPr>
      <t xml:space="preserve">실기 첫 접촉</t>
    </r>
    <r>
      <rPr>
        <b val="true"/>
        <sz val="10"/>
        <color rgb="FF000000"/>
        <rFont val="Arial"/>
        <family val="0"/>
        <charset val="1"/>
      </rPr>
      <t xml:space="preserve">, </t>
    </r>
    <r>
      <rPr>
        <b val="true"/>
        <sz val="10"/>
        <color rgb="FF000000"/>
        <rFont val="Noto Sans CJK SC"/>
        <family val="2"/>
      </rPr>
      <t xml:space="preserve">웹</t>
    </r>
    <r>
      <rPr>
        <b val="true"/>
        <sz val="10"/>
        <color rgb="FF000000"/>
        <rFont val="Arial"/>
        <family val="0"/>
        <charset val="1"/>
      </rPr>
      <t xml:space="preserve">-ROS </t>
    </r>
    <r>
      <rPr>
        <b val="true"/>
        <sz val="10"/>
        <color rgb="FF000000"/>
        <rFont val="Noto Sans CJK SC"/>
        <family val="2"/>
      </rPr>
      <t xml:space="preserve">연결</t>
    </r>
  </si>
  <si>
    <r>
      <rPr>
        <sz val="10"/>
        <color rgb="FF000000"/>
        <rFont val="Arial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실기 점유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현지와 공동</t>
    </r>
    <r>
      <rPr>
        <sz val="10"/>
        <color rgb="FF000000"/>
        <rFont val="Arial"/>
        <family val="0"/>
        <charset val="1"/>
      </rPr>
      <t xml:space="preserve">] TR-01
• </t>
    </r>
    <r>
      <rPr>
        <sz val="10"/>
        <color rgb="FF000000"/>
        <rFont val="Noto Sans CJK SC"/>
        <family val="2"/>
      </rPr>
      <t xml:space="preserve">수직 하강 접촉 임계값 튜닝
• 누름 슬라이딩
• 모서리 </t>
    </r>
    <r>
      <rPr>
        <sz val="10"/>
        <color rgb="FF000000"/>
        <rFont val="Arial"/>
        <family val="0"/>
        <charset val="1"/>
      </rPr>
      <t xml:space="preserve">z </t>
    </r>
    <r>
      <rPr>
        <sz val="10"/>
        <color rgb="FF000000"/>
        <rFont val="Noto Sans CJK SC"/>
        <family val="2"/>
      </rPr>
      <t xml:space="preserve">급강하 검출</t>
    </r>
    <r>
      <rPr>
        <sz val="10"/>
        <color rgb="FF000000"/>
        <rFont val="Arial"/>
        <family val="0"/>
        <charset val="1"/>
      </rPr>
      <t xml:space="preserve">: +x </t>
    </r>
    <r>
      <rPr>
        <sz val="10"/>
        <color rgb="FF000000"/>
        <rFont val="Noto Sans CJK SC"/>
        <family val="2"/>
      </rPr>
      <t xml:space="preserve">먼저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이후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방향
• 한 명은 티치펜던트 비상정지 앞 대기</t>
    </r>
  </si>
  <si>
    <r>
      <rPr>
        <sz val="10"/>
        <color rgb="FF000000"/>
        <rFont val="Arial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실기 점유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학민과 공동</t>
    </r>
    <r>
      <rPr>
        <sz val="10"/>
        <color rgb="FF000000"/>
        <rFont val="Arial"/>
        <family val="0"/>
        <charset val="1"/>
      </rPr>
      <t xml:space="preserve">] TR-01
• </t>
    </r>
    <r>
      <rPr>
        <sz val="10"/>
        <color rgb="FF000000"/>
        <rFont val="Noto Sans CJK SC"/>
        <family val="2"/>
      </rPr>
      <t xml:space="preserve">임계값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디바운스</t>
    </r>
    <r>
      <rPr>
        <sz val="10"/>
        <color rgb="FF000000"/>
        <rFont val="Arial"/>
        <family val="0"/>
        <charset val="1"/>
      </rPr>
      <t xml:space="preserve">·z </t>
    </r>
    <r>
      <rPr>
        <sz val="10"/>
        <color rgb="FF000000"/>
        <rFont val="Noto Sans CJK SC"/>
        <family val="2"/>
      </rPr>
      <t xml:space="preserve">급강하 파라미터 튜닝
• 검출 하중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판정 지연</t>
    </r>
    <r>
      <rPr>
        <sz val="10"/>
        <color rgb="FF000000"/>
        <rFont val="Arial"/>
        <family val="0"/>
        <charset val="1"/>
      </rPr>
      <t xml:space="preserve">, 10</t>
    </r>
    <r>
      <rPr>
        <sz val="10"/>
        <color rgb="FF000000"/>
        <rFont val="Noto Sans CJK SC"/>
        <family val="2"/>
      </rPr>
      <t xml:space="preserve">회 접촉 좌표 산포 기록
• 저녁 통합 빌드 주관</t>
    </r>
  </si>
  <si>
    <r>
      <rPr>
        <sz val="10"/>
        <color rgb="FF000000"/>
        <rFont val="Noto Sans CJK SC"/>
        <family val="2"/>
      </rPr>
      <t xml:space="preserve">• 중지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안전복귀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재시작 로직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진행 기록 보존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중단 위치부터 계속</t>
    </r>
    <r>
      <rPr>
        <sz val="10"/>
        <color rgb="FF000000"/>
        <rFont val="Arial"/>
        <family val="0"/>
        <charset val="1"/>
      </rPr>
      <t xml:space="preserve">)
• </t>
    </r>
    <r>
      <rPr>
        <sz val="10"/>
        <color rgb="FF000000"/>
        <rFont val="Noto Sans CJK SC"/>
        <family val="2"/>
      </rPr>
      <t xml:space="preserve">의석과 </t>
    </r>
    <r>
      <rPr>
        <sz val="10"/>
        <color rgb="FF000000"/>
        <rFont val="Arial"/>
        <family val="0"/>
        <charset val="1"/>
      </rPr>
      <t xml:space="preserve">mqtt_bridge↔FastAPI </t>
    </r>
    <r>
      <rPr>
        <sz val="10"/>
        <color rgb="FF000000"/>
        <rFont val="Noto Sans CJK SC"/>
        <family val="2"/>
      </rPr>
      <t xml:space="preserve">실제 연결</t>
    </r>
  </si>
  <si>
    <r>
      <rPr>
        <sz val="10"/>
        <color rgb="FF000000"/>
        <rFont val="Arial"/>
        <family val="0"/>
        <charset val="1"/>
      </rPr>
      <t xml:space="preserve">• PostgreSQL </t>
    </r>
    <r>
      <rPr>
        <sz val="10"/>
        <color rgb="FF000000"/>
        <rFont val="Noto Sans CJK SC"/>
        <family val="2"/>
      </rPr>
      <t xml:space="preserve">스키마
• </t>
    </r>
    <r>
      <rPr>
        <sz val="10"/>
        <color rgb="FF000000"/>
        <rFont val="Arial"/>
        <family val="0"/>
        <charset val="1"/>
      </rPr>
      <t xml:space="preserve">FastAPI </t>
    </r>
    <r>
      <rPr>
        <sz val="10"/>
        <color rgb="FF000000"/>
        <rFont val="Noto Sans CJK SC"/>
        <family val="2"/>
      </rPr>
      <t xml:space="preserve">측정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이벤트 </t>
    </r>
    <r>
      <rPr>
        <sz val="10"/>
        <color rgb="FF000000"/>
        <rFont val="Arial"/>
        <family val="0"/>
        <charset val="1"/>
      </rPr>
      <t xml:space="preserve">DB </t>
    </r>
    <r>
      <rPr>
        <sz val="10"/>
        <color rgb="FF000000"/>
        <rFont val="Noto Sans CJK SC"/>
        <family val="2"/>
      </rPr>
      <t xml:space="preserve">쓰기
• 시간순 로그 패널
• 접수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거절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완료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실패 표시
• 병후와 실제 </t>
    </r>
    <r>
      <rPr>
        <sz val="10"/>
        <color rgb="FF000000"/>
        <rFont val="Arial"/>
        <family val="0"/>
        <charset val="1"/>
      </rPr>
      <t xml:space="preserve">mqtt_bridge </t>
    </r>
    <r>
      <rPr>
        <sz val="10"/>
        <color rgb="FF000000"/>
        <rFont val="Noto Sans CJK SC"/>
        <family val="2"/>
      </rPr>
      <t xml:space="preserve">연결</t>
    </r>
  </si>
  <si>
    <r>
      <rPr>
        <sz val="10"/>
        <color rgb="FF000000"/>
        <rFont val="Arial"/>
        <family val="0"/>
        <charset val="1"/>
      </rPr>
      <t xml:space="preserve">M3
• </t>
    </r>
    <r>
      <rPr>
        <sz val="10"/>
        <color rgb="FF000000"/>
        <rFont val="Noto Sans CJK SC"/>
        <family val="2"/>
      </rPr>
      <t xml:space="preserve">실기에서 윗면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점과 모서리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방향 이상 검출
• 웹 버튼으로 </t>
    </r>
    <r>
      <rPr>
        <sz val="10"/>
        <color rgb="FF000000"/>
        <rFont val="Arial"/>
        <family val="0"/>
        <charset val="1"/>
      </rPr>
      <t xml:space="preserve">sim </t>
    </r>
    <r>
      <rPr>
        <sz val="10"/>
        <color rgb="FF000000"/>
        <rFont val="Noto Sans CJK SC"/>
        <family val="2"/>
      </rPr>
      <t xml:space="preserve">스캔 시작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중지 동작</t>
    </r>
  </si>
  <si>
    <r>
      <rPr>
        <b val="true"/>
        <sz val="10"/>
        <color rgb="FF000000"/>
        <rFont val="Arial"/>
        <family val="0"/>
        <charset val="1"/>
      </rPr>
      <t xml:space="preserve">Day 4
9/21(</t>
    </r>
    <r>
      <rPr>
        <b val="true"/>
        <sz val="10"/>
        <color rgb="FF000000"/>
        <rFont val="Noto Sans CJK SC"/>
        <family val="2"/>
      </rPr>
      <t xml:space="preserve">월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</si>
  <si>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color rgb="FF000000"/>
        <rFont val="Noto Sans CJK SC"/>
        <family val="2"/>
      </rPr>
      <t xml:space="preserve">실기 종단</t>
    </r>
    <r>
      <rPr>
        <b val="true"/>
        <sz val="10"/>
        <color rgb="FF000000"/>
        <rFont val="Arial"/>
        <family val="0"/>
        <charset val="1"/>
      </rPr>
      <t xml:space="preserve">, </t>
    </r>
    <r>
      <rPr>
        <b val="true"/>
        <sz val="10"/>
        <color rgb="FF000000"/>
        <rFont val="Noto Sans CJK SC"/>
        <family val="2"/>
      </rPr>
      <t xml:space="preserve">재시작</t>
    </r>
    <r>
      <rPr>
        <b val="true"/>
        <sz val="10"/>
        <color rgb="FF000000"/>
        <rFont val="Arial"/>
        <family val="0"/>
        <charset val="1"/>
      </rPr>
      <t xml:space="preserve">·</t>
    </r>
    <r>
      <rPr>
        <b val="true"/>
        <sz val="10"/>
        <color rgb="FF000000"/>
        <rFont val="Noto Sans CJK SC"/>
        <family val="2"/>
      </rPr>
      <t xml:space="preserve">안전</t>
    </r>
    <r>
      <rPr>
        <b val="true"/>
        <sz val="10"/>
        <color rgb="FF000000"/>
        <rFont val="Arial"/>
        <family val="0"/>
        <charset val="1"/>
      </rPr>
      <t xml:space="preserve">, Spring Boot</t>
    </r>
  </si>
  <si>
    <r>
      <rPr>
        <sz val="10"/>
        <color rgb="FF000000"/>
        <rFont val="Arial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오전 실기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현지와 공동</t>
    </r>
    <r>
      <rPr>
        <sz val="10"/>
        <color rgb="FF000000"/>
        <rFont val="Arial"/>
        <family val="0"/>
        <charset val="1"/>
      </rPr>
      <t xml:space="preserve">]
• </t>
    </r>
    <r>
      <rPr>
        <sz val="10"/>
        <color rgb="FF000000"/>
        <rFont val="Noto Sans CJK SC"/>
        <family val="2"/>
      </rPr>
      <t xml:space="preserve">실기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점 전체 탐색
• 편향 보정 상수 실측
• </t>
    </r>
    <r>
      <rPr>
        <sz val="10"/>
        <color rgb="FF000000"/>
        <rFont val="Arial"/>
        <family val="0"/>
        <charset val="1"/>
      </rPr>
      <t xml:space="preserve">TR-02 (</t>
    </r>
    <r>
      <rPr>
        <sz val="10"/>
        <color rgb="FF000000"/>
        <rFont val="Noto Sans CJK SC"/>
        <family val="2"/>
      </rPr>
      <t xml:space="preserve">블록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종</t>
    </r>
    <r>
      <rPr>
        <sz val="10"/>
        <color rgb="FF000000"/>
        <rFont val="Arial"/>
        <family val="0"/>
        <charset val="1"/>
      </rPr>
      <t xml:space="preserve">, ±3 mm), 120</t>
    </r>
    <r>
      <rPr>
        <sz val="10"/>
        <color rgb="FF000000"/>
        <rFont val="Noto Sans CJK SC"/>
        <family val="2"/>
      </rPr>
      <t xml:space="preserve">초 이내 확인
</t>
    </r>
    <r>
      <rPr>
        <sz val="10"/>
        <color rgb="FF000000"/>
        <rFont val="Arial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오후</t>
    </r>
    <r>
      <rPr>
        <sz val="10"/>
        <color rgb="FF000000"/>
        <rFont val="Arial"/>
        <family val="0"/>
        <charset val="1"/>
      </rPr>
      <t xml:space="preserve">] </t>
    </r>
    <r>
      <rPr>
        <sz val="10"/>
        <color rgb="FF000000"/>
        <rFont val="Noto Sans CJK SC"/>
        <family val="2"/>
      </rPr>
      <t xml:space="preserve">병후의 실기 재시작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안전복귀 검증 지원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홈 복귀 경로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재접근 절차 확정</t>
    </r>
  </si>
  <si>
    <r>
      <rPr>
        <sz val="10"/>
        <color rgb="FF000000"/>
        <rFont val="Arial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오전 실기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학민과 공동</t>
    </r>
    <r>
      <rPr>
        <sz val="10"/>
        <color rgb="FF000000"/>
        <rFont val="Arial"/>
        <family val="0"/>
        <charset val="1"/>
      </rPr>
      <t xml:space="preserve">]
• 5</t>
    </r>
    <r>
      <rPr>
        <sz val="10"/>
        <color rgb="FF000000"/>
        <rFont val="Noto Sans CJK SC"/>
        <family val="2"/>
      </rPr>
      <t xml:space="preserve">점 전체 탐색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편향 보정</t>
    </r>
    <r>
      <rPr>
        <sz val="10"/>
        <color rgb="FF000000"/>
        <rFont val="Arial"/>
        <family val="0"/>
        <charset val="1"/>
      </rPr>
      <t xml:space="preserve">, TR-02
[</t>
    </r>
    <r>
      <rPr>
        <sz val="10"/>
        <color rgb="FF000000"/>
        <rFont val="Noto Sans CJK SC"/>
        <family val="2"/>
      </rPr>
      <t xml:space="preserve">오후</t>
    </r>
    <r>
      <rPr>
        <sz val="10"/>
        <color rgb="FF000000"/>
        <rFont val="Arial"/>
        <family val="0"/>
        <charset val="1"/>
      </rPr>
      <t xml:space="preserve">]
• safety_monitor </t>
    </r>
    <r>
      <rPr>
        <sz val="10"/>
        <color rgb="FF000000"/>
        <rFont val="Noto Sans CJK SC"/>
        <family val="2"/>
      </rPr>
      <t xml:space="preserve">확장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데이터 최신성</t>
    </r>
    <r>
      <rPr>
        <sz val="10"/>
        <color rgb="FF000000"/>
        <rFont val="Arial"/>
        <family val="0"/>
        <charset val="1"/>
      </rPr>
      <t xml:space="preserve">, heartbeat)
• </t>
    </r>
    <r>
      <rPr>
        <sz val="10"/>
        <color rgb="FF000000"/>
        <rFont val="Noto Sans CJK SC"/>
        <family val="2"/>
      </rPr>
      <t xml:space="preserve">반복성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회 측정
• 저녁 통합 빌드와 기능 동결 확인</t>
    </r>
  </si>
  <si>
    <r>
      <rPr>
        <sz val="10"/>
        <color rgb="FF000000"/>
        <rFont val="Arial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오후 실기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학민 지원</t>
    </r>
    <r>
      <rPr>
        <sz val="10"/>
        <color rgb="FF000000"/>
        <rFont val="Arial"/>
        <family val="0"/>
        <charset val="1"/>
      </rPr>
      <t xml:space="preserve">]
• </t>
    </r>
    <r>
      <rPr>
        <sz val="10"/>
        <color rgb="FF000000"/>
        <rFont val="Noto Sans CJK SC"/>
        <family val="2"/>
      </rPr>
      <t xml:space="preserve">실기에서 중지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안전복귀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재시작 검증 </t>
    </r>
    <r>
      <rPr>
        <sz val="10"/>
        <color rgb="FF000000"/>
        <rFont val="Arial"/>
        <family val="0"/>
        <charset val="1"/>
      </rPr>
      <t xml:space="preserve">(TR-08)
• </t>
    </r>
    <r>
      <rPr>
        <sz val="10"/>
        <color rgb="FF000000"/>
        <rFont val="Noto Sans CJK SC"/>
        <family val="2"/>
      </rPr>
      <t xml:space="preserve">홈 복귀 경로와 재접근 절차 확정</t>
    </r>
  </si>
  <si>
    <r>
      <rPr>
        <sz val="10"/>
        <color rgb="FF000000"/>
        <rFont val="Arial"/>
        <family val="0"/>
        <charset val="1"/>
      </rPr>
      <t xml:space="preserve">• Spring Boot: </t>
    </r>
    <r>
      <rPr>
        <sz val="10"/>
        <color rgb="FF000000"/>
        <rFont val="Noto Sans CJK SC"/>
        <family val="2"/>
      </rPr>
      <t xml:space="preserve">작업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공작물 관리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측정 이력 조회
• 엣지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경로 후보 강조와 좌표 표
• 홈 복귀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재시작 진행 상태 표시</t>
    </r>
  </si>
  <si>
    <r>
      <rPr>
        <sz val="10"/>
        <color rgb="FF000000"/>
        <rFont val="Arial"/>
        <family val="0"/>
        <charset val="1"/>
      </rPr>
      <t xml:space="preserve">M4
• </t>
    </r>
    <r>
      <rPr>
        <sz val="10"/>
        <color rgb="FF000000"/>
        <rFont val="Noto Sans CJK SC"/>
        <family val="2"/>
      </rPr>
      <t xml:space="preserve">시작 버튼에서 실기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점 탐색을 거쳐 </t>
    </r>
    <r>
      <rPr>
        <sz val="10"/>
        <color rgb="FF000000"/>
        <rFont val="Arial"/>
        <family val="0"/>
        <charset val="1"/>
      </rPr>
      <t xml:space="preserve">3D </t>
    </r>
    <r>
      <rPr>
        <sz val="10"/>
        <color rgb="FF000000"/>
        <rFont val="Noto Sans CJK SC"/>
        <family val="2"/>
      </rPr>
      <t xml:space="preserve">직육면체 표시까지 종단 통과
• 월요일 저녁 기능 동결</t>
    </r>
  </si>
  <si>
    <r>
      <rPr>
        <b val="true"/>
        <sz val="10"/>
        <color rgb="FF000000"/>
        <rFont val="Arial"/>
        <family val="0"/>
        <charset val="1"/>
      </rPr>
      <t xml:space="preserve">Day 5
9/22(</t>
    </r>
    <r>
      <rPr>
        <b val="true"/>
        <sz val="10"/>
        <color rgb="FF000000"/>
        <rFont val="Noto Sans CJK SC"/>
        <family val="2"/>
      </rPr>
      <t xml:space="preserve">화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</si>
  <si>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color rgb="FF000000"/>
        <rFont val="Noto Sans CJK SC"/>
        <family val="2"/>
      </rPr>
      <t xml:space="preserve">시험</t>
    </r>
    <r>
      <rPr>
        <b val="true"/>
        <sz val="10"/>
        <color rgb="FF000000"/>
        <rFont val="Arial"/>
        <family val="0"/>
        <charset val="1"/>
      </rPr>
      <t xml:space="preserve">, </t>
    </r>
    <r>
      <rPr>
        <b val="true"/>
        <sz val="10"/>
        <color rgb="FF000000"/>
        <rFont val="Noto Sans CJK SC"/>
        <family val="2"/>
      </rPr>
      <t xml:space="preserve">수정</t>
    </r>
    <r>
      <rPr>
        <b val="true"/>
        <sz val="10"/>
        <color rgb="FF000000"/>
        <rFont val="Arial"/>
        <family val="0"/>
        <charset val="1"/>
      </rPr>
      <t xml:space="preserve">, </t>
    </r>
    <r>
      <rPr>
        <b val="true"/>
        <sz val="10"/>
        <color rgb="FF000000"/>
        <rFont val="Noto Sans CJK SC"/>
        <family val="2"/>
      </rPr>
      <t xml:space="preserve">시연</t>
    </r>
  </si>
  <si>
    <r>
      <rPr>
        <sz val="10"/>
        <color rgb="FF000000"/>
        <rFont val="Arial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오전</t>
    </r>
    <r>
      <rPr>
        <sz val="10"/>
        <color rgb="FF000000"/>
        <rFont val="Arial"/>
        <family val="0"/>
        <charset val="1"/>
      </rPr>
      <t xml:space="preserve">]
• TR-04 </t>
    </r>
    <r>
      <rPr>
        <sz val="10"/>
        <color rgb="FF000000"/>
        <rFont val="Noto Sans CJK SC"/>
        <family val="2"/>
      </rPr>
      <t xml:space="preserve">직접교시 시간 비교
• </t>
    </r>
    <r>
      <rPr>
        <sz val="10"/>
        <color rgb="FF000000"/>
        <rFont val="Arial"/>
        <family val="0"/>
        <charset val="1"/>
      </rPr>
      <t xml:space="preserve">TR-07 </t>
    </r>
    <r>
      <rPr>
        <sz val="10"/>
        <color rgb="FF000000"/>
        <rFont val="Noto Sans CJK SC"/>
        <family val="2"/>
      </rPr>
      <t xml:space="preserve">안전 시험
</t>
    </r>
    <r>
      <rPr>
        <sz val="10"/>
        <color rgb="FF000000"/>
        <rFont val="Arial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오후</t>
    </r>
    <r>
      <rPr>
        <sz val="10"/>
        <color rgb="FF000000"/>
        <rFont val="Arial"/>
        <family val="0"/>
        <charset val="1"/>
      </rPr>
      <t xml:space="preserve">] </t>
    </r>
    <r>
      <rPr>
        <sz val="10"/>
        <color rgb="FF000000"/>
        <rFont val="Noto Sans CJK SC"/>
        <family val="2"/>
      </rPr>
      <t xml:space="preserve">버그 수정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시연 리허설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회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백업 영상 녹화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결과 정리</t>
    </r>
  </si>
  <si>
    <r>
      <rPr>
        <sz val="10"/>
        <color rgb="FF000000"/>
        <rFont val="Arial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오전</t>
    </r>
    <r>
      <rPr>
        <sz val="10"/>
        <color rgb="FF000000"/>
        <rFont val="Arial"/>
        <family val="0"/>
        <charset val="1"/>
      </rPr>
      <t xml:space="preserve">]
• </t>
    </r>
    <r>
      <rPr>
        <sz val="10"/>
        <color rgb="FF000000"/>
        <rFont val="Noto Sans CJK SC"/>
        <family val="2"/>
      </rPr>
      <t xml:space="preserve">블록 교체 후 코드 수정 없이 재실행
• </t>
    </r>
    <r>
      <rPr>
        <sz val="10"/>
        <color rgb="FF000000"/>
        <rFont val="Arial"/>
        <family val="0"/>
        <charset val="1"/>
      </rPr>
      <t xml:space="preserve">TR-03 </t>
    </r>
    <r>
      <rPr>
        <sz val="10"/>
        <color rgb="FF000000"/>
        <rFont val="Noto Sans CJK SC"/>
        <family val="2"/>
      </rPr>
      <t xml:space="preserve">배치 민감도
•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회 연속 오검출 시험
</t>
    </r>
    <r>
      <rPr>
        <sz val="10"/>
        <color rgb="FF000000"/>
        <rFont val="Arial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오후</t>
    </r>
    <r>
      <rPr>
        <sz val="10"/>
        <color rgb="FF000000"/>
        <rFont val="Arial"/>
        <family val="0"/>
        <charset val="1"/>
      </rPr>
      <t xml:space="preserve">] </t>
    </r>
    <r>
      <rPr>
        <sz val="10"/>
        <color rgb="FF000000"/>
        <rFont val="Noto Sans CJK SC"/>
        <family val="2"/>
      </rPr>
      <t xml:space="preserve">버그 수정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시연 리허설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회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백업 영상 녹화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결과 정리</t>
    </r>
  </si>
  <si>
    <r>
      <rPr>
        <sz val="10"/>
        <color rgb="FF000000"/>
        <rFont val="Arial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오전</t>
    </r>
    <r>
      <rPr>
        <sz val="10"/>
        <color rgb="FF000000"/>
        <rFont val="Arial"/>
        <family val="0"/>
        <charset val="1"/>
      </rPr>
      <t xml:space="preserve">]
• TR-09 </t>
    </r>
    <r>
      <rPr>
        <sz val="10"/>
        <color rgb="FF000000"/>
        <rFont val="Noto Sans CJK SC"/>
        <family val="2"/>
      </rPr>
      <t xml:space="preserve">데이터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명령 연동
• 로그 검증
</t>
    </r>
    <r>
      <rPr>
        <sz val="10"/>
        <color rgb="FF000000"/>
        <rFont val="Arial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오후</t>
    </r>
    <r>
      <rPr>
        <sz val="10"/>
        <color rgb="FF000000"/>
        <rFont val="Arial"/>
        <family val="0"/>
        <charset val="1"/>
      </rPr>
      <t xml:space="preserve">] </t>
    </r>
    <r>
      <rPr>
        <sz val="10"/>
        <color rgb="FF000000"/>
        <rFont val="Noto Sans CJK SC"/>
        <family val="2"/>
      </rPr>
      <t xml:space="preserve">버그 수정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시연 리허설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회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백업 영상 녹화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결과 정리</t>
    </r>
  </si>
  <si>
    <r>
      <rPr>
        <sz val="10"/>
        <color rgb="FF000000"/>
        <rFont val="Arial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오전</t>
    </r>
    <r>
      <rPr>
        <sz val="10"/>
        <color rgb="FF000000"/>
        <rFont val="Arial"/>
        <family val="0"/>
        <charset val="1"/>
      </rPr>
      <t xml:space="preserve">]
• TR-05 (</t>
    </r>
    <r>
      <rPr>
        <sz val="10"/>
        <color rgb="FF000000"/>
        <rFont val="Noto Sans CJK SC"/>
        <family val="2"/>
      </rPr>
      <t xml:space="preserve">반영 지연 </t>
    </r>
    <r>
      <rPr>
        <sz val="10"/>
        <color rgb="FF000000"/>
        <rFont val="Arial"/>
        <family val="0"/>
        <charset val="1"/>
      </rPr>
      <t xml:space="preserve">200 ms, </t>
    </r>
    <r>
      <rPr>
        <sz val="10"/>
        <color rgb="FF000000"/>
        <rFont val="Noto Sans CJK SC"/>
        <family val="2"/>
      </rPr>
      <t xml:space="preserve">중지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초</t>
    </r>
    <r>
      <rPr>
        <sz val="10"/>
        <color rgb="FF000000"/>
        <rFont val="Arial"/>
        <family val="0"/>
        <charset val="1"/>
      </rPr>
      <t xml:space="preserve">)
• TR-10 </t>
    </r>
    <r>
      <rPr>
        <sz val="10"/>
        <color rgb="FF000000"/>
        <rFont val="Noto Sans CJK SC"/>
        <family val="2"/>
      </rPr>
      <t xml:space="preserve">저장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조회 연동
</t>
    </r>
    <r>
      <rPr>
        <sz val="10"/>
        <color rgb="FF000000"/>
        <rFont val="Arial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오후</t>
    </r>
    <r>
      <rPr>
        <sz val="10"/>
        <color rgb="FF000000"/>
        <rFont val="Arial"/>
        <family val="0"/>
        <charset val="1"/>
      </rPr>
      <t xml:space="preserve">] </t>
    </r>
    <r>
      <rPr>
        <sz val="10"/>
        <color rgb="FF000000"/>
        <rFont val="Noto Sans CJK SC"/>
        <family val="2"/>
      </rPr>
      <t xml:space="preserve">버그 수정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시연 리허설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회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백업 영상 녹화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결과 정리</t>
    </r>
  </si>
  <si>
    <r>
      <rPr>
        <sz val="10"/>
        <color rgb="FF000000"/>
        <rFont val="Arial"/>
        <family val="0"/>
        <charset val="1"/>
      </rPr>
      <t xml:space="preserve">M5
• BRD 9</t>
    </r>
    <r>
      <rPr>
        <sz val="10"/>
        <color rgb="FF000000"/>
        <rFont val="Noto Sans CJK SC"/>
        <family val="2"/>
      </rPr>
      <t xml:space="preserve">장 수락 기준 체크리스트 통과
• 오후에는 버그 수정만 한다</t>
    </r>
  </si>
  <si>
    <r>
      <rPr>
        <b val="true"/>
        <sz val="14"/>
        <color rgb="FF1F3864"/>
        <rFont val="Noto Sans CJK SC"/>
        <family val="2"/>
      </rPr>
      <t xml:space="preserve">작업 목록 </t>
    </r>
    <r>
      <rPr>
        <b val="true"/>
        <sz val="14"/>
        <color rgb="FF1F3864"/>
        <rFont val="Arial"/>
        <family val="0"/>
        <charset val="1"/>
      </rPr>
      <t xml:space="preserve">(</t>
    </r>
    <r>
      <rPr>
        <b val="true"/>
        <sz val="14"/>
        <color rgb="FF1F3864"/>
        <rFont val="Noto Sans CJK SC"/>
        <family val="2"/>
      </rPr>
      <t xml:space="preserve">간트</t>
    </r>
    <r>
      <rPr>
        <b val="true"/>
        <sz val="14"/>
        <color rgb="FF1F3864"/>
        <rFont val="Arial"/>
        <family val="0"/>
        <charset val="1"/>
      </rPr>
      <t xml:space="preserve">)</t>
    </r>
  </si>
  <si>
    <r>
      <rPr>
        <i val="true"/>
        <sz val="9"/>
        <color rgb="FF595959"/>
        <rFont val="Noto Sans CJK SC"/>
        <family val="2"/>
      </rPr>
      <t xml:space="preserve">사용법</t>
    </r>
    <r>
      <rPr>
        <i val="true"/>
        <sz val="9"/>
        <color rgb="FF595959"/>
        <rFont val="Arial"/>
        <family val="0"/>
        <charset val="1"/>
      </rPr>
      <t xml:space="preserve">: </t>
    </r>
    <r>
      <rPr>
        <i val="true"/>
        <sz val="9"/>
        <color rgb="FF595959"/>
        <rFont val="Noto Sans CJK SC"/>
        <family val="2"/>
      </rPr>
      <t xml:space="preserve">노란색 칸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상태</t>
    </r>
    <r>
      <rPr>
        <i val="true"/>
        <sz val="9"/>
        <color rgb="FF595959"/>
        <rFont val="Arial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비고</t>
    </r>
    <r>
      <rPr>
        <i val="true"/>
        <sz val="9"/>
        <color rgb="FF595959"/>
        <rFont val="Arial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만 수정한다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상태는 드롭다운에서 대기</t>
    </r>
    <r>
      <rPr>
        <i val="true"/>
        <sz val="9"/>
        <color rgb="FF595959"/>
        <rFont val="Arial"/>
        <family val="0"/>
        <charset val="1"/>
      </rPr>
      <t xml:space="preserve">/</t>
    </r>
    <r>
      <rPr>
        <i val="true"/>
        <sz val="9"/>
        <color rgb="FF595959"/>
        <rFont val="Noto Sans CJK SC"/>
        <family val="2"/>
      </rPr>
      <t xml:space="preserve">진행</t>
    </r>
    <r>
      <rPr>
        <i val="true"/>
        <sz val="9"/>
        <color rgb="FF595959"/>
        <rFont val="Arial"/>
        <family val="0"/>
        <charset val="1"/>
      </rPr>
      <t xml:space="preserve">/</t>
    </r>
    <r>
      <rPr>
        <i val="true"/>
        <sz val="9"/>
        <color rgb="FF595959"/>
        <rFont val="Noto Sans CJK SC"/>
        <family val="2"/>
      </rPr>
      <t xml:space="preserve">완료</t>
    </r>
    <r>
      <rPr>
        <i val="true"/>
        <sz val="9"/>
        <color rgb="FF595959"/>
        <rFont val="Arial"/>
        <family val="0"/>
        <charset val="1"/>
      </rPr>
      <t xml:space="preserve">/</t>
    </r>
    <r>
      <rPr>
        <i val="true"/>
        <sz val="9"/>
        <color rgb="FF595959"/>
        <rFont val="Noto Sans CJK SC"/>
        <family val="2"/>
      </rPr>
      <t xml:space="preserve">지연 중 선택한다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진행률은 ‘역할 배분’ 시트에 자동 집계된다</t>
    </r>
    <r>
      <rPr>
        <i val="true"/>
        <sz val="9"/>
        <color rgb="FF595959"/>
        <rFont val="Arial"/>
        <family val="0"/>
        <charset val="1"/>
      </rPr>
      <t xml:space="preserve">.</t>
    </r>
  </si>
  <si>
    <t xml:space="preserve">ID</t>
  </si>
  <si>
    <t xml:space="preserve">작업</t>
  </si>
  <si>
    <r>
      <rPr>
        <b val="true"/>
        <sz val="10"/>
        <color rgb="FFFFFFFF"/>
        <rFont val="Arial"/>
        <family val="0"/>
        <charset val="1"/>
      </rPr>
      <t xml:space="preserve">BRD </t>
    </r>
    <r>
      <rPr>
        <b val="true"/>
        <sz val="10"/>
        <color rgb="FFFFFFFF"/>
        <rFont val="Noto Sans CJK SC"/>
        <family val="2"/>
      </rPr>
      <t xml:space="preserve">근거</t>
    </r>
  </si>
  <si>
    <r>
      <rPr>
        <b val="true"/>
        <sz val="10"/>
        <color rgb="FFFFFFFF"/>
        <rFont val="Arial"/>
        <family val="0"/>
        <charset val="1"/>
      </rPr>
      <t xml:space="preserve">D1
9/18(</t>
    </r>
    <r>
      <rPr>
        <b val="true"/>
        <sz val="10"/>
        <color rgb="FFFFFFFF"/>
        <rFont val="Noto Sans CJK SC"/>
        <family val="2"/>
      </rPr>
      <t xml:space="preserve">금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</si>
  <si>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D2
9/19(</t>
    </r>
    <r>
      <rPr>
        <b val="true"/>
        <sz val="10"/>
        <color rgb="FFFFFFFF"/>
        <rFont val="Noto Sans CJK SC"/>
        <family val="2"/>
      </rPr>
      <t xml:space="preserve">토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</si>
  <si>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D3
9/20(</t>
    </r>
    <r>
      <rPr>
        <b val="true"/>
        <sz val="10"/>
        <color rgb="FFFFFFFF"/>
        <rFont val="Noto Sans CJK SC"/>
        <family val="2"/>
      </rPr>
      <t xml:space="preserve">일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</si>
  <si>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D4
9/21(</t>
    </r>
    <r>
      <rPr>
        <b val="true"/>
        <sz val="10"/>
        <color rgb="FFFFFFFF"/>
        <rFont val="Noto Sans CJK SC"/>
        <family val="2"/>
      </rPr>
      <t xml:space="preserve">월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</si>
  <si>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D5
9/22(</t>
    </r>
    <r>
      <rPr>
        <b val="true"/>
        <sz val="10"/>
        <color rgb="FFFFFFFF"/>
        <rFont val="Noto Sans CJK SC"/>
        <family val="2"/>
      </rPr>
      <t xml:space="preserve">화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</si>
  <si>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상태</t>
  </si>
  <si>
    <t xml:space="preserve">비고</t>
  </si>
  <si>
    <t xml:space="preserve">T01</t>
  </si>
  <si>
    <r>
      <rPr>
        <sz val="10"/>
        <color rgb="FF000000"/>
        <rFont val="Noto Sans CJK SC"/>
        <family val="2"/>
      </rPr>
      <t xml:space="preserve">인터페이스 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Noto Sans CJK SC"/>
        <family val="2"/>
      </rPr>
      <t xml:space="preserve">동결 회의 </t>
    </r>
    <r>
      <rPr>
        <sz val="10"/>
        <color rgb="FF000000"/>
        <rFont val="Arial"/>
        <family val="0"/>
        <charset val="1"/>
      </rPr>
      <t xml:space="preserve">(msg·srv·action </t>
    </r>
    <r>
      <rPr>
        <sz val="10"/>
        <color rgb="FF000000"/>
        <rFont val="Noto Sans CJK SC"/>
        <family val="2"/>
      </rPr>
      <t xml:space="preserve">필드</t>
    </r>
    <r>
      <rPr>
        <sz val="10"/>
        <color rgb="FF000000"/>
        <rFont val="Arial"/>
        <family val="0"/>
        <charset val="1"/>
      </rPr>
      <t xml:space="preserve">, MQTT </t>
    </r>
    <r>
      <rPr>
        <sz val="10"/>
        <color rgb="FF000000"/>
        <rFont val="Noto Sans CJK SC"/>
        <family val="2"/>
      </rPr>
      <t xml:space="preserve">토픽</t>
    </r>
    <r>
      <rPr>
        <sz val="10"/>
        <color rgb="FF000000"/>
        <rFont val="Arial"/>
        <family val="0"/>
        <charset val="1"/>
      </rPr>
      <t xml:space="preserve">·JSON </t>
    </r>
    <r>
      <rPr>
        <sz val="10"/>
        <color rgb="FF000000"/>
        <rFont val="Noto Sans CJK SC"/>
        <family val="2"/>
      </rPr>
      <t xml:space="preserve">스키마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단위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명령 </t>
    </r>
    <r>
      <rPr>
        <sz val="10"/>
        <color rgb="FF000000"/>
        <rFont val="Arial"/>
        <family val="0"/>
        <charset val="1"/>
      </rPr>
      <t xml:space="preserve">ID, </t>
    </r>
    <r>
      <rPr>
        <sz val="10"/>
        <color rgb="FF000000"/>
        <rFont val="Noto Sans CJK SC"/>
        <family val="2"/>
      </rPr>
      <t xml:space="preserve">재시작 연결 방식</t>
    </r>
    <r>
      <rPr>
        <sz val="10"/>
        <color rgb="FF000000"/>
        <rFont val="Arial"/>
        <family val="0"/>
        <charset val="1"/>
      </rPr>
      <t xml:space="preserve">)</t>
    </r>
  </si>
  <si>
    <t xml:space="preserve">전원</t>
  </si>
  <si>
    <r>
      <rPr>
        <sz val="10"/>
        <color rgb="FF000000"/>
        <rFont val="Arial"/>
        <family val="0"/>
        <charset val="1"/>
      </rPr>
      <t xml:space="preserve">4.7</t>
    </r>
    <r>
      <rPr>
        <sz val="10"/>
        <color rgb="FF000000"/>
        <rFont val="Noto Sans CJK SC"/>
        <family val="2"/>
      </rPr>
      <t xml:space="preserve">절</t>
    </r>
  </si>
  <si>
    <t xml:space="preserve">●</t>
  </si>
  <si>
    <t xml:space="preserve">대기</t>
  </si>
  <si>
    <t xml:space="preserve">T02</t>
  </si>
  <si>
    <r>
      <rPr>
        <sz val="10"/>
        <color rgb="FF000000"/>
        <rFont val="Arial"/>
        <family val="0"/>
        <charset val="1"/>
      </rPr>
      <t xml:space="preserve">sodreal </t>
    </r>
    <r>
      <rPr>
        <sz val="10"/>
        <color rgb="FF000000"/>
        <rFont val="Noto Sans CJK SC"/>
        <family val="2"/>
      </rPr>
      <t xml:space="preserve">실기 연결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툴 무게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무게중심</t>
    </r>
    <r>
      <rPr>
        <sz val="10"/>
        <color rgb="FF000000"/>
        <rFont val="Arial"/>
        <family val="0"/>
        <charset val="1"/>
      </rPr>
      <t xml:space="preserve">·TCP </t>
    </r>
    <r>
      <rPr>
        <sz val="10"/>
        <color rgb="FF000000"/>
        <rFont val="Noto Sans CJK SC"/>
        <family val="2"/>
      </rPr>
      <t xml:space="preserve">등록</t>
    </r>
  </si>
  <si>
    <r>
      <rPr>
        <sz val="10"/>
        <color rgb="FF000000"/>
        <rFont val="Arial"/>
        <family val="0"/>
        <charset val="1"/>
      </rPr>
      <t xml:space="preserve">4.1.5, 6</t>
    </r>
    <r>
      <rPr>
        <sz val="10"/>
        <color rgb="FF000000"/>
        <rFont val="Noto Sans CJK SC"/>
        <family val="2"/>
      </rPr>
      <t xml:space="preserve">장</t>
    </r>
  </si>
  <si>
    <t xml:space="preserve">T03</t>
  </si>
  <si>
    <r>
      <rPr>
        <sz val="10"/>
        <color rgb="FF000000"/>
        <rFont val="Noto Sans CJK SC"/>
        <family val="2"/>
      </rPr>
      <t xml:space="preserve">작업대 원점</t>
    </r>
    <r>
      <rPr>
        <sz val="10"/>
        <color rgb="FF000000"/>
        <rFont val="Arial"/>
        <family val="0"/>
        <charset val="1"/>
      </rPr>
      <t xml:space="preserve">·z=0·</t>
    </r>
    <r>
      <rPr>
        <sz val="10"/>
        <color rgb="FF000000"/>
        <rFont val="Noto Sans CJK SC"/>
        <family val="2"/>
      </rPr>
      <t xml:space="preserve">홈 자세 확정</t>
    </r>
  </si>
  <si>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장</t>
    </r>
  </si>
  <si>
    <t xml:space="preserve">T04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</si>
  <si>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호출 확인 로그 </t>
    </r>
    <r>
      <rPr>
        <sz val="10"/>
        <color rgb="FF000000"/>
        <rFont val="Arial"/>
        <family val="0"/>
        <charset val="1"/>
      </rPr>
      <t xml:space="preserve">(get_tool_force, move_stop, task_compliance_ctrl, set_desired_force, drl_script_run)</t>
    </r>
  </si>
  <si>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장 제약</t>
    </r>
    <r>
      <rPr>
        <sz val="10"/>
        <color rgb="FF000000"/>
        <rFont val="Arial"/>
        <family val="0"/>
        <charset val="1"/>
      </rPr>
      <t xml:space="preserve">, [E19]</t>
    </r>
  </si>
  <si>
    <t xml:space="preserve">T05</t>
  </si>
  <si>
    <r>
      <rPr>
        <sz val="10"/>
        <color rgb="FF000000"/>
        <rFont val="Noto Sans CJK SC"/>
        <family val="2"/>
      </rPr>
      <t xml:space="preserve">저장소 구조</t>
    </r>
    <r>
      <rPr>
        <sz val="10"/>
        <color rgb="FF000000"/>
        <rFont val="Arial"/>
        <family val="0"/>
        <charset val="1"/>
      </rPr>
      <t xml:space="preserve">(ws_cobot1/src)</t>
    </r>
    <r>
      <rPr>
        <sz val="10"/>
        <color rgb="FF000000"/>
        <rFont val="Noto Sans CJK SC"/>
        <family val="2"/>
      </rPr>
      <t xml:space="preserve">와 브랜치 규칙 수립</t>
    </r>
  </si>
  <si>
    <t xml:space="preserve">-</t>
  </si>
  <si>
    <t xml:space="preserve">T06</t>
  </si>
  <si>
    <r>
      <rPr>
        <sz val="10"/>
        <color rgb="FF000000"/>
        <rFont val="Noto Sans CJK SC"/>
        <family val="2"/>
      </rPr>
      <t xml:space="preserve">일일 통합 빌드 주관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저녁 </t>
    </r>
    <r>
      <rPr>
        <sz val="10"/>
        <color rgb="FF000000"/>
        <rFont val="Arial"/>
        <family val="0"/>
        <charset val="1"/>
      </rPr>
      <t xml:space="preserve">main </t>
    </r>
    <r>
      <rPr>
        <sz val="10"/>
        <color rgb="FF000000"/>
        <rFont val="Noto Sans CJK SC"/>
        <family val="2"/>
      </rPr>
      <t xml:space="preserve">병합</t>
    </r>
    <r>
      <rPr>
        <sz val="10"/>
        <color rgb="FF000000"/>
        <rFont val="Arial"/>
        <family val="0"/>
        <charset val="1"/>
      </rPr>
      <t xml:space="preserve">, sim </t>
    </r>
    <r>
      <rPr>
        <sz val="10"/>
        <color rgb="FF000000"/>
        <rFont val="Noto Sans CJK SC"/>
        <family val="2"/>
      </rPr>
      <t xml:space="preserve">종단 실행</t>
    </r>
    <r>
      <rPr>
        <sz val="10"/>
        <color rgb="FF000000"/>
        <rFont val="Arial"/>
        <family val="0"/>
        <charset val="1"/>
      </rPr>
      <t xml:space="preserve">)</t>
    </r>
  </si>
  <si>
    <t xml:space="preserve">T07</t>
  </si>
  <si>
    <r>
      <rPr>
        <sz val="10"/>
        <color rgb="FF000000"/>
        <rFont val="Arial"/>
        <family val="0"/>
        <charset val="1"/>
      </rPr>
      <t xml:space="preserve">contact_detector </t>
    </r>
    <r>
      <rPr>
        <sz val="10"/>
        <color rgb="FF000000"/>
        <rFont val="Noto Sans CJK SC"/>
        <family val="2"/>
      </rPr>
      <t xml:space="preserve">골격</t>
    </r>
    <r>
      <rPr>
        <sz val="10"/>
        <color rgb="FF000000"/>
        <rFont val="Arial"/>
        <family val="0"/>
        <charset val="1"/>
      </rPr>
      <t xml:space="preserve">, sim </t>
    </r>
    <r>
      <rPr>
        <sz val="10"/>
        <color rgb="FF000000"/>
        <rFont val="Noto Sans CJK SC"/>
        <family val="2"/>
      </rPr>
      <t xml:space="preserve">입력원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가상 직육면체</t>
    </r>
    <r>
      <rPr>
        <sz val="10"/>
        <color rgb="FF000000"/>
        <rFont val="Arial"/>
        <family val="0"/>
        <charset val="1"/>
      </rPr>
      <t xml:space="preserve">)</t>
    </r>
  </si>
  <si>
    <t xml:space="preserve">4.1.6</t>
  </si>
  <si>
    <t xml:space="preserve">T08</t>
  </si>
  <si>
    <r>
      <rPr>
        <sz val="10"/>
        <color rgb="FF000000"/>
        <rFont val="Noto Sans CJK SC"/>
        <family val="2"/>
      </rPr>
      <t xml:space="preserve">무접촉 외력 잡음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수집 주기 측정</t>
    </r>
  </si>
  <si>
    <r>
      <rPr>
        <sz val="10"/>
        <color rgb="FF000000"/>
        <rFont val="Noto Sans CJK SC"/>
        <family val="2"/>
      </rPr>
      <t xml:space="preserve">현지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학민</t>
    </r>
  </si>
  <si>
    <r>
      <rPr>
        <sz val="10"/>
        <color rgb="FF000000"/>
        <rFont val="Arial"/>
        <family val="0"/>
        <charset val="1"/>
      </rPr>
      <t xml:space="preserve">TR-01, </t>
    </r>
    <r>
      <rPr>
        <sz val="10"/>
        <color rgb="FF000000"/>
        <rFont val="Noto Sans CJK SC"/>
        <family val="2"/>
      </rPr>
      <t xml:space="preserve">위험 </t>
    </r>
    <r>
      <rPr>
        <sz val="10"/>
        <color rgb="FF000000"/>
        <rFont val="Arial"/>
        <family val="0"/>
        <charset val="1"/>
      </rPr>
      <t xml:space="preserve">1</t>
    </r>
  </si>
  <si>
    <t xml:space="preserve">T09</t>
  </si>
  <si>
    <r>
      <rPr>
        <sz val="10"/>
        <color rgb="FF000000"/>
        <rFont val="Arial"/>
        <family val="0"/>
        <charset val="1"/>
      </rPr>
      <t xml:space="preserve">contact_scan_interfaces </t>
    </r>
    <r>
      <rPr>
        <sz val="10"/>
        <color rgb="FF000000"/>
        <rFont val="Noto Sans CJK SC"/>
        <family val="2"/>
      </rPr>
      <t xml:space="preserve">패키지 빌드</t>
    </r>
  </si>
  <si>
    <t xml:space="preserve">T10</t>
  </si>
  <si>
    <r>
      <rPr>
        <sz val="10"/>
        <color rgb="FF000000"/>
        <rFont val="Arial"/>
        <family val="0"/>
        <charset val="1"/>
      </rPr>
      <t xml:space="preserve">scan_manager </t>
    </r>
    <r>
      <rPr>
        <sz val="10"/>
        <color rgb="FF000000"/>
        <rFont val="Noto Sans CJK SC"/>
        <family val="2"/>
      </rPr>
      <t xml:space="preserve">상태 기계 골격</t>
    </r>
  </si>
  <si>
    <r>
      <rPr>
        <sz val="10"/>
        <color rgb="FF000000"/>
        <rFont val="Arial"/>
        <family val="0"/>
        <charset val="1"/>
      </rPr>
      <t xml:space="preserve">4.6</t>
    </r>
    <r>
      <rPr>
        <sz val="10"/>
        <color rgb="FF000000"/>
        <rFont val="Noto Sans CJK SC"/>
        <family val="2"/>
      </rPr>
      <t xml:space="preserve">절</t>
    </r>
  </si>
  <si>
    <t xml:space="preserve">T11</t>
  </si>
  <si>
    <r>
      <rPr>
        <sz val="10"/>
        <color rgb="FF000000"/>
        <rFont val="Arial"/>
        <family val="0"/>
        <charset val="1"/>
      </rPr>
      <t xml:space="preserve">docker-compose: Mosquitto, PostgreSQL, FastAPI, Spring Boot </t>
    </r>
    <r>
      <rPr>
        <sz val="10"/>
        <color rgb="FF000000"/>
        <rFont val="Noto Sans CJK SC"/>
        <family val="2"/>
      </rPr>
      <t xml:space="preserve">골격</t>
    </r>
  </si>
  <si>
    <t xml:space="preserve">T12</t>
  </si>
  <si>
    <r>
      <rPr>
        <sz val="10"/>
        <color rgb="FF000000"/>
        <rFont val="Arial"/>
        <family val="0"/>
        <charset val="1"/>
      </rPr>
      <t xml:space="preserve">React·Three.js </t>
    </r>
    <r>
      <rPr>
        <sz val="10"/>
        <color rgb="FF000000"/>
        <rFont val="Noto Sans CJK SC"/>
        <family val="2"/>
      </rPr>
      <t xml:space="preserve">프로젝트 골격</t>
    </r>
    <r>
      <rPr>
        <sz val="10"/>
        <color rgb="FF000000"/>
        <rFont val="Arial"/>
        <family val="0"/>
        <charset val="1"/>
      </rPr>
      <t xml:space="preserve">, MQTT </t>
    </r>
    <r>
      <rPr>
        <sz val="10"/>
        <color rgb="FF000000"/>
        <rFont val="Noto Sans CJK SC"/>
        <family val="2"/>
      </rPr>
      <t xml:space="preserve">목업 발행기</t>
    </r>
  </si>
  <si>
    <r>
      <rPr>
        <sz val="10"/>
        <color rgb="FF000000"/>
        <rFont val="Arial"/>
        <family val="0"/>
        <charset val="1"/>
      </rPr>
      <t xml:space="preserve">4.4</t>
    </r>
    <r>
      <rPr>
        <sz val="10"/>
        <color rgb="FF000000"/>
        <rFont val="Noto Sans CJK SC"/>
        <family val="2"/>
      </rPr>
      <t xml:space="preserve">절</t>
    </r>
  </si>
  <si>
    <t xml:space="preserve">T13</t>
  </si>
  <si>
    <r>
      <rPr>
        <sz val="10"/>
        <color rgb="FF000000"/>
        <rFont val="Arial"/>
        <family val="0"/>
        <charset val="1"/>
      </rPr>
      <t xml:space="preserve">robot_manager: execute_motion Action (</t>
    </r>
    <r>
      <rPr>
        <sz val="10"/>
        <color rgb="FF000000"/>
        <rFont val="Noto Sans CJK SC"/>
        <family val="2"/>
      </rPr>
      <t xml:space="preserve">하강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슬라이딩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원점 복귀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홈</t>
    </r>
    <r>
      <rPr>
        <sz val="10"/>
        <color rgb="FF000000"/>
        <rFont val="Arial"/>
        <family val="0"/>
        <charset val="1"/>
      </rPr>
      <t xml:space="preserve">)</t>
    </r>
  </si>
  <si>
    <t xml:space="preserve">4.2.1~4.2.3, 4.2.6</t>
  </si>
  <si>
    <t xml:space="preserve">T14</t>
  </si>
  <si>
    <r>
      <rPr>
        <sz val="10"/>
        <color rgb="FF000000"/>
        <rFont val="Arial"/>
        <family val="0"/>
        <charset val="1"/>
      </rPr>
      <t xml:space="preserve">/robot/stop (move_stop), </t>
    </r>
    <r>
      <rPr>
        <sz val="10"/>
        <color rgb="FF000000"/>
        <rFont val="Noto Sans CJK SC"/>
        <family val="2"/>
      </rPr>
      <t xml:space="preserve">순응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힘 제어 </t>
    </r>
    <r>
      <rPr>
        <sz val="10"/>
        <color rgb="FF000000"/>
        <rFont val="Arial"/>
        <family val="0"/>
        <charset val="1"/>
      </rPr>
      <t xml:space="preserve">finally </t>
    </r>
    <r>
      <rPr>
        <sz val="10"/>
        <color rgb="FF000000"/>
        <rFont val="Noto Sans CJK SC"/>
        <family val="2"/>
      </rPr>
      <t xml:space="preserve">해제</t>
    </r>
  </si>
  <si>
    <t xml:space="preserve">4.5.1, 4.5.2</t>
  </si>
  <si>
    <t xml:space="preserve">T15</t>
  </si>
  <si>
    <r>
      <rPr>
        <sz val="10"/>
        <color rgb="FF000000"/>
        <rFont val="Arial"/>
        <family val="0"/>
        <charset val="1"/>
      </rPr>
      <t xml:space="preserve">RobotSample </t>
    </r>
    <r>
      <rPr>
        <sz val="10"/>
        <color rgb="FF000000"/>
        <rFont val="Noto Sans CJK SC"/>
        <family val="2"/>
      </rPr>
      <t xml:space="preserve">발행</t>
    </r>
    <r>
      <rPr>
        <sz val="10"/>
        <color rgb="FF000000"/>
        <rFont val="Arial"/>
        <family val="0"/>
        <charset val="1"/>
      </rPr>
      <t xml:space="preserve">, Virtual Mode </t>
    </r>
    <r>
      <rPr>
        <sz val="10"/>
        <color rgb="FF000000"/>
        <rFont val="Noto Sans CJK SC"/>
        <family val="2"/>
      </rPr>
      <t xml:space="preserve">모션 검증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발행 주기 실측</t>
    </r>
  </si>
  <si>
    <r>
      <rPr>
        <sz val="10"/>
        <color rgb="FF000000"/>
        <rFont val="Arial"/>
        <family val="0"/>
        <charset val="1"/>
      </rPr>
      <t xml:space="preserve">4.1.6, </t>
    </r>
    <r>
      <rPr>
        <sz val="10"/>
        <color rgb="FF000000"/>
        <rFont val="Noto Sans CJK SC"/>
        <family val="2"/>
      </rPr>
      <t xml:space="preserve">위험 </t>
    </r>
    <r>
      <rPr>
        <sz val="10"/>
        <color rgb="FF000000"/>
        <rFont val="Arial"/>
        <family val="0"/>
        <charset val="1"/>
      </rPr>
      <t xml:space="preserve">1</t>
    </r>
  </si>
  <si>
    <t xml:space="preserve">T16</t>
  </si>
  <si>
    <r>
      <rPr>
        <sz val="10"/>
        <color rgb="FF000000"/>
        <rFont val="Arial"/>
        <family val="0"/>
        <charset val="1"/>
      </rPr>
      <t xml:space="preserve">contact_detector </t>
    </r>
    <r>
      <rPr>
        <sz val="10"/>
        <color rgb="FF000000"/>
        <rFont val="Noto Sans CJK SC"/>
        <family val="2"/>
      </rPr>
      <t xml:space="preserve">완성 </t>
    </r>
    <r>
      <rPr>
        <sz val="10"/>
        <color rgb="FF000000"/>
        <rFont val="Arial"/>
        <family val="0"/>
        <charset val="1"/>
      </rPr>
      <t xml:space="preserve">(tare·</t>
    </r>
    <r>
      <rPr>
        <sz val="10"/>
        <color rgb="FF000000"/>
        <rFont val="Noto Sans CJK SC"/>
        <family val="2"/>
      </rPr>
      <t xml:space="preserve">임계</t>
    </r>
    <r>
      <rPr>
        <sz val="10"/>
        <color rgb="FF000000"/>
        <rFont val="Arial"/>
        <family val="0"/>
        <charset val="1"/>
      </rPr>
      <t xml:space="preserve">·z </t>
    </r>
    <r>
      <rPr>
        <sz val="10"/>
        <color rgb="FF000000"/>
        <rFont val="Noto Sans CJK SC"/>
        <family val="2"/>
      </rPr>
      <t xml:space="preserve">급강하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디바운스 파라미터화</t>
    </r>
    <r>
      <rPr>
        <sz val="10"/>
        <color rgb="FF000000"/>
        <rFont val="Arial"/>
        <family val="0"/>
        <charset val="1"/>
      </rPr>
      <t xml:space="preserve">)</t>
    </r>
  </si>
  <si>
    <t xml:space="preserve">4.1.1~4.1.6</t>
  </si>
  <si>
    <t xml:space="preserve">T17</t>
  </si>
  <si>
    <r>
      <rPr>
        <sz val="10"/>
        <color rgb="FF000000"/>
        <rFont val="Arial"/>
        <family val="0"/>
        <charset val="1"/>
      </rPr>
      <t xml:space="preserve">geometry_estimator</t>
    </r>
    <r>
      <rPr>
        <sz val="10"/>
        <color rgb="FF000000"/>
        <rFont val="Noto Sans CJK SC"/>
        <family val="2"/>
      </rPr>
      <t xml:space="preserve">와 단위 테스트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꼭짓점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엣지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경로 후보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편향 보정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비정상 검출</t>
    </r>
    <r>
      <rPr>
        <sz val="10"/>
        <color rgb="FF000000"/>
        <rFont val="Arial"/>
        <family val="0"/>
        <charset val="1"/>
      </rPr>
      <t xml:space="preserve">)</t>
    </r>
  </si>
  <si>
    <t xml:space="preserve">4.3.1~4.3.3, 4.3.5, 4.2.4</t>
  </si>
  <si>
    <t xml:space="preserve">T18</t>
  </si>
  <si>
    <r>
      <rPr>
        <sz val="10"/>
        <color rgb="FF000000"/>
        <rFont val="Arial"/>
        <family val="0"/>
        <charset val="1"/>
      </rPr>
      <t xml:space="preserve">safety_monitor </t>
    </r>
    <r>
      <rPr>
        <sz val="10"/>
        <color rgb="FF000000"/>
        <rFont val="Noto Sans CJK SC"/>
        <family val="2"/>
      </rPr>
      <t xml:space="preserve">최소판 </t>
    </r>
    <r>
      <rPr>
        <sz val="10"/>
        <color rgb="FF000000"/>
        <rFont val="Arial"/>
        <family val="0"/>
        <charset val="1"/>
      </rPr>
      <t xml:space="preserve">(30 N, </t>
    </r>
    <r>
      <rPr>
        <sz val="10"/>
        <color rgb="FF000000"/>
        <rFont val="Noto Sans CJK SC"/>
        <family val="2"/>
      </rPr>
      <t xml:space="preserve">하강 제한 </t>
    </r>
    <r>
      <rPr>
        <sz val="10"/>
        <color rgb="FF000000"/>
        <rFont val="Arial"/>
        <family val="0"/>
        <charset val="1"/>
      </rPr>
      <t xml:space="preserve">5 mm</t>
    </r>
    <r>
      <rPr>
        <sz val="10"/>
        <color rgb="FF000000"/>
        <rFont val="Noto Sans CJK SC"/>
        <family val="2"/>
      </rPr>
      <t xml:space="preserve">에서 정지 요청</t>
    </r>
    <r>
      <rPr>
        <sz val="10"/>
        <color rgb="FF000000"/>
        <rFont val="Arial"/>
        <family val="0"/>
        <charset val="1"/>
      </rPr>
      <t xml:space="preserve">)</t>
    </r>
  </si>
  <si>
    <t xml:space="preserve">4.5.3, 4.5.4</t>
  </si>
  <si>
    <t xml:space="preserve">T19</t>
  </si>
  <si>
    <r>
      <rPr>
        <sz val="10"/>
        <color rgb="FF000000"/>
        <rFont val="Arial"/>
        <family val="0"/>
        <charset val="1"/>
      </rPr>
      <t xml:space="preserve">scan_manager </t>
    </r>
    <r>
      <rPr>
        <sz val="10"/>
        <color rgb="FF000000"/>
        <rFont val="Noto Sans CJK SC"/>
        <family val="2"/>
      </rPr>
      <t xml:space="preserve">전체 시퀀스 </t>
    </r>
    <r>
      <rPr>
        <sz val="10"/>
        <color rgb="FF000000"/>
        <rFont val="Arial"/>
        <family val="0"/>
        <charset val="1"/>
      </rPr>
      <t xml:space="preserve">sim </t>
    </r>
    <r>
      <rPr>
        <sz val="10"/>
        <color rgb="FF000000"/>
        <rFont val="Noto Sans CJK SC"/>
        <family val="2"/>
      </rPr>
      <t xml:space="preserve">구동</t>
    </r>
  </si>
  <si>
    <r>
      <rPr>
        <sz val="10"/>
        <color rgb="FF000000"/>
        <rFont val="Arial"/>
        <family val="0"/>
        <charset val="1"/>
      </rPr>
      <t xml:space="preserve">4.6</t>
    </r>
    <r>
      <rPr>
        <sz val="10"/>
        <color rgb="FF000000"/>
        <rFont val="Noto Sans CJK SC"/>
        <family val="2"/>
      </rPr>
      <t xml:space="preserve">절</t>
    </r>
    <r>
      <rPr>
        <sz val="10"/>
        <color rgb="FF000000"/>
        <rFont val="Arial"/>
        <family val="0"/>
        <charset val="1"/>
      </rPr>
      <t xml:space="preserve">, US-07</t>
    </r>
  </si>
  <si>
    <t xml:space="preserve">T20</t>
  </si>
  <si>
    <r>
      <rPr>
        <sz val="10"/>
        <color rgb="FF000000"/>
        <rFont val="Arial"/>
        <family val="0"/>
        <charset val="1"/>
      </rPr>
      <t xml:space="preserve">result_store </t>
    </r>
    <r>
      <rPr>
        <sz val="10"/>
        <color rgb="FF000000"/>
        <rFont val="Noto Sans CJK SC"/>
        <family val="2"/>
      </rPr>
      <t xml:space="preserve">로컬 기록</t>
    </r>
  </si>
  <si>
    <t xml:space="preserve">4.4.7</t>
  </si>
  <si>
    <t xml:space="preserve">T21</t>
  </si>
  <si>
    <r>
      <rPr>
        <sz val="10"/>
        <color rgb="FF000000"/>
        <rFont val="Arial"/>
        <family val="0"/>
        <charset val="1"/>
      </rPr>
      <t xml:space="preserve">mqtt_bridge: </t>
    </r>
    <r>
      <rPr>
        <sz val="10"/>
        <color rgb="FF000000"/>
        <rFont val="Noto Sans CJK SC"/>
        <family val="2"/>
      </rPr>
      <t xml:space="preserve">명령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종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상태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샘플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이벤트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결과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로그 발행</t>
    </r>
  </si>
  <si>
    <r>
      <rPr>
        <sz val="10"/>
        <color rgb="FF000000"/>
        <rFont val="Arial"/>
        <family val="0"/>
        <charset val="1"/>
      </rPr>
      <t xml:space="preserve">4.4.2, 4.7</t>
    </r>
    <r>
      <rPr>
        <sz val="10"/>
        <color rgb="FF000000"/>
        <rFont val="Noto Sans CJK SC"/>
        <family val="2"/>
      </rPr>
      <t xml:space="preserve">절</t>
    </r>
  </si>
  <si>
    <t xml:space="preserve">T22</t>
  </si>
  <si>
    <r>
      <rPr>
        <sz val="10"/>
        <color rgb="FF000000"/>
        <rFont val="Arial"/>
        <family val="0"/>
        <charset val="1"/>
      </rPr>
      <t xml:space="preserve">FastAPI: MQTT↔WebSocket, </t>
    </r>
    <r>
      <rPr>
        <sz val="10"/>
        <color rgb="FF000000"/>
        <rFont val="Noto Sans CJK SC"/>
        <family val="2"/>
      </rPr>
      <t xml:space="preserve">명령 </t>
    </r>
    <r>
      <rPr>
        <sz val="10"/>
        <color rgb="FF000000"/>
        <rFont val="Arial"/>
        <family val="0"/>
        <charset val="1"/>
      </rPr>
      <t xml:space="preserve">REST→MQTT, </t>
    </r>
    <r>
      <rPr>
        <sz val="10"/>
        <color rgb="FF000000"/>
        <rFont val="Noto Sans CJK SC"/>
        <family val="2"/>
      </rPr>
      <t xml:space="preserve">접수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완료 구분</t>
    </r>
  </si>
  <si>
    <t xml:space="preserve">T23</t>
  </si>
  <si>
    <r>
      <rPr>
        <sz val="10"/>
        <color rgb="FF000000"/>
        <rFont val="Arial"/>
        <family val="0"/>
        <charset val="1"/>
      </rPr>
      <t xml:space="preserve">3D </t>
    </r>
    <r>
      <rPr>
        <sz val="10"/>
        <color rgb="FF000000"/>
        <rFont val="Noto Sans CJK SC"/>
        <family val="2"/>
      </rPr>
      <t xml:space="preserve">뷰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작업대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팁 위치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궤적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접촉점</t>
    </r>
    <r>
      <rPr>
        <sz val="10"/>
        <color rgb="FF000000"/>
        <rFont val="Arial"/>
        <family val="0"/>
        <charset val="1"/>
      </rPr>
      <t xml:space="preserve">), 4</t>
    </r>
    <r>
      <rPr>
        <sz val="10"/>
        <color rgb="FF000000"/>
        <rFont val="Noto Sans CJK SC"/>
        <family val="2"/>
      </rPr>
      <t xml:space="preserve">버튼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단계 표시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목업 데이터</t>
    </r>
    <r>
      <rPr>
        <sz val="10"/>
        <color rgb="FF000000"/>
        <rFont val="Arial"/>
        <family val="0"/>
        <charset val="1"/>
      </rPr>
      <t xml:space="preserve">)</t>
    </r>
  </si>
  <si>
    <t xml:space="preserve">4.4.1, 4.4.2, 4.4.4</t>
  </si>
  <si>
    <t xml:space="preserve">T24</t>
  </si>
  <si>
    <r>
      <rPr>
        <sz val="10"/>
        <color rgb="FF000000"/>
        <rFont val="Noto Sans CJK SC"/>
        <family val="2"/>
      </rPr>
      <t xml:space="preserve">실기 </t>
    </r>
    <r>
      <rPr>
        <sz val="10"/>
        <color rgb="FF000000"/>
        <rFont val="Arial"/>
        <family val="0"/>
        <charset val="1"/>
      </rPr>
      <t xml:space="preserve">TR-01: </t>
    </r>
    <r>
      <rPr>
        <sz val="10"/>
        <color rgb="FF000000"/>
        <rFont val="Noto Sans CJK SC"/>
        <family val="2"/>
      </rPr>
      <t xml:space="preserve">수직 하강 접촉 임계값 튜닝</t>
    </r>
  </si>
  <si>
    <r>
      <rPr>
        <sz val="10"/>
        <color rgb="FF000000"/>
        <rFont val="Noto Sans CJK SC"/>
        <family val="2"/>
      </rPr>
      <t xml:space="preserve">학민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현지</t>
    </r>
  </si>
  <si>
    <t xml:space="preserve">TR-01, 4.2.1</t>
  </si>
  <si>
    <t xml:space="preserve">T25</t>
  </si>
  <si>
    <r>
      <rPr>
        <sz val="10"/>
        <color rgb="FF000000"/>
        <rFont val="Noto Sans CJK SC"/>
        <family val="2"/>
      </rPr>
      <t xml:space="preserve">실기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누름 슬라이딩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모서리 </t>
    </r>
    <r>
      <rPr>
        <sz val="10"/>
        <color rgb="FF000000"/>
        <rFont val="Arial"/>
        <family val="0"/>
        <charset val="1"/>
      </rPr>
      <t xml:space="preserve">z </t>
    </r>
    <r>
      <rPr>
        <sz val="10"/>
        <color rgb="FF000000"/>
        <rFont val="Noto Sans CJK SC"/>
        <family val="2"/>
      </rPr>
      <t xml:space="preserve">급강하 검출 </t>
    </r>
    <r>
      <rPr>
        <sz val="10"/>
        <color rgb="FF000000"/>
        <rFont val="Arial"/>
        <family val="0"/>
        <charset val="1"/>
      </rPr>
      <t xml:space="preserve">(+x </t>
    </r>
    <r>
      <rPr>
        <sz val="10"/>
        <color rgb="FF000000"/>
        <rFont val="Noto Sans CJK SC"/>
        <family val="2"/>
      </rPr>
      <t xml:space="preserve">먼저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이후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방향</t>
    </r>
    <r>
      <rPr>
        <sz val="10"/>
        <color rgb="FF000000"/>
        <rFont val="Arial"/>
        <family val="0"/>
        <charset val="1"/>
      </rPr>
      <t xml:space="preserve">)</t>
    </r>
  </si>
  <si>
    <t xml:space="preserve">4.2.2, 4.5.4</t>
  </si>
  <si>
    <t xml:space="preserve">T26</t>
  </si>
  <si>
    <r>
      <rPr>
        <sz val="10"/>
        <color rgb="FF000000"/>
        <rFont val="Noto Sans CJK SC"/>
        <family val="2"/>
      </rPr>
      <t xml:space="preserve">중지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안전복귀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재시작 로직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진행 기록 보존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중단 위치부터 계속</t>
    </r>
    <r>
      <rPr>
        <sz val="10"/>
        <color rgb="FF000000"/>
        <rFont val="Arial"/>
        <family val="0"/>
        <charset val="1"/>
      </rPr>
      <t xml:space="preserve">)</t>
    </r>
  </si>
  <si>
    <t xml:space="preserve">4.4.8, 4.4.9, 4.5.1</t>
  </si>
  <si>
    <t xml:space="preserve">T27</t>
  </si>
  <si>
    <r>
      <rPr>
        <sz val="10"/>
        <color rgb="FF000000"/>
        <rFont val="Arial"/>
        <family val="0"/>
        <charset val="1"/>
      </rPr>
      <t xml:space="preserve">mqtt_bridge↔FastAPI </t>
    </r>
    <r>
      <rPr>
        <sz val="10"/>
        <color rgb="FF000000"/>
        <rFont val="Noto Sans CJK SC"/>
        <family val="2"/>
      </rPr>
      <t xml:space="preserve">실제 연결</t>
    </r>
  </si>
  <si>
    <r>
      <rPr>
        <sz val="10"/>
        <color rgb="FF000000"/>
        <rFont val="Noto Sans CJK SC"/>
        <family val="2"/>
      </rPr>
      <t xml:space="preserve">병후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의석</t>
    </r>
  </si>
  <si>
    <t xml:space="preserve">T28</t>
  </si>
  <si>
    <r>
      <rPr>
        <sz val="10"/>
        <color rgb="FF000000"/>
        <rFont val="Arial"/>
        <family val="0"/>
        <charset val="1"/>
      </rPr>
      <t xml:space="preserve">PostgreSQL </t>
    </r>
    <r>
      <rPr>
        <sz val="10"/>
        <color rgb="FF000000"/>
        <rFont val="Noto Sans CJK SC"/>
        <family val="2"/>
      </rPr>
      <t xml:space="preserve">스키마</t>
    </r>
    <r>
      <rPr>
        <sz val="10"/>
        <color rgb="FF000000"/>
        <rFont val="Arial"/>
        <family val="0"/>
        <charset val="1"/>
      </rPr>
      <t xml:space="preserve">, FastAPI </t>
    </r>
    <r>
      <rPr>
        <sz val="10"/>
        <color rgb="FF000000"/>
        <rFont val="Noto Sans CJK SC"/>
        <family val="2"/>
      </rPr>
      <t xml:space="preserve">측정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이벤트 </t>
    </r>
    <r>
      <rPr>
        <sz val="10"/>
        <color rgb="FF000000"/>
        <rFont val="Arial"/>
        <family val="0"/>
        <charset val="1"/>
      </rPr>
      <t xml:space="preserve">DB </t>
    </r>
    <r>
      <rPr>
        <sz val="10"/>
        <color rgb="FF000000"/>
        <rFont val="Noto Sans CJK SC"/>
        <family val="2"/>
      </rPr>
      <t xml:space="preserve">쓰기</t>
    </r>
  </si>
  <si>
    <t xml:space="preserve">4.3.4</t>
  </si>
  <si>
    <t xml:space="preserve">T29</t>
  </si>
  <si>
    <r>
      <rPr>
        <sz val="10"/>
        <color rgb="FF000000"/>
        <rFont val="Noto Sans CJK SC"/>
        <family val="2"/>
      </rPr>
      <t xml:space="preserve">시간순 로그 패널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접수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거절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완료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실패 표시</t>
    </r>
  </si>
  <si>
    <t xml:space="preserve">4.4.3, 4.4.2</t>
  </si>
  <si>
    <t xml:space="preserve">T30</t>
  </si>
  <si>
    <r>
      <rPr>
        <sz val="10"/>
        <color rgb="FF000000"/>
        <rFont val="Noto Sans CJK SC"/>
        <family val="2"/>
      </rPr>
      <t xml:space="preserve">실기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점 전체 탐색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편향 보정 상수 실측</t>
    </r>
  </si>
  <si>
    <r>
      <rPr>
        <sz val="10"/>
        <color rgb="FF000000"/>
        <rFont val="Arial"/>
        <family val="0"/>
        <charset val="1"/>
      </rPr>
      <t xml:space="preserve">4.2.4, </t>
    </r>
    <r>
      <rPr>
        <sz val="10"/>
        <color rgb="FF000000"/>
        <rFont val="Noto Sans CJK SC"/>
        <family val="2"/>
      </rPr>
      <t xml:space="preserve">위험 </t>
    </r>
    <r>
      <rPr>
        <sz val="10"/>
        <color rgb="FF000000"/>
        <rFont val="Arial"/>
        <family val="0"/>
        <charset val="1"/>
      </rPr>
      <t xml:space="preserve">3</t>
    </r>
  </si>
  <si>
    <t xml:space="preserve">T31</t>
  </si>
  <si>
    <r>
      <rPr>
        <sz val="10"/>
        <color rgb="FF000000"/>
        <rFont val="Arial"/>
        <family val="0"/>
        <charset val="1"/>
      </rPr>
      <t xml:space="preserve">TR-02 (</t>
    </r>
    <r>
      <rPr>
        <sz val="10"/>
        <color rgb="FF000000"/>
        <rFont val="Noto Sans CJK SC"/>
        <family val="2"/>
      </rPr>
      <t xml:space="preserve">블록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종</t>
    </r>
    <r>
      <rPr>
        <sz val="10"/>
        <color rgb="FF000000"/>
        <rFont val="Arial"/>
        <family val="0"/>
        <charset val="1"/>
      </rPr>
      <t xml:space="preserve">, ±3 mm), 120</t>
    </r>
    <r>
      <rPr>
        <sz val="10"/>
        <color rgb="FF000000"/>
        <rFont val="Noto Sans CJK SC"/>
        <family val="2"/>
      </rPr>
      <t xml:space="preserve">초 이내 확인</t>
    </r>
  </si>
  <si>
    <r>
      <rPr>
        <sz val="10"/>
        <color rgb="FF000000"/>
        <rFont val="Arial"/>
        <family val="0"/>
        <charset val="1"/>
      </rPr>
      <t xml:space="preserve">TR-02, 5</t>
    </r>
    <r>
      <rPr>
        <sz val="10"/>
        <color rgb="FF000000"/>
        <rFont val="Noto Sans CJK SC"/>
        <family val="2"/>
      </rPr>
      <t xml:space="preserve">장</t>
    </r>
  </si>
  <si>
    <t xml:space="preserve">T32</t>
  </si>
  <si>
    <r>
      <rPr>
        <sz val="10"/>
        <color rgb="FF000000"/>
        <rFont val="Noto Sans CJK SC"/>
        <family val="2"/>
      </rPr>
      <t xml:space="preserve">실기 중지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안전복귀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재시작 검증 </t>
    </r>
    <r>
      <rPr>
        <sz val="10"/>
        <color rgb="FF000000"/>
        <rFont val="Arial"/>
        <family val="0"/>
        <charset val="1"/>
      </rPr>
      <t xml:space="preserve">(TR-08), </t>
    </r>
    <r>
      <rPr>
        <sz val="10"/>
        <color rgb="FF000000"/>
        <rFont val="Noto Sans CJK SC"/>
        <family val="2"/>
      </rPr>
      <t xml:space="preserve">홈 복귀 경로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재접근 절차 확정</t>
    </r>
  </si>
  <si>
    <r>
      <rPr>
        <sz val="10"/>
        <color rgb="FF000000"/>
        <rFont val="Noto Sans CJK SC"/>
        <family val="2"/>
      </rPr>
      <t xml:space="preserve">병후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학민</t>
    </r>
  </si>
  <si>
    <r>
      <rPr>
        <sz val="10"/>
        <color rgb="FF000000"/>
        <rFont val="Arial"/>
        <family val="0"/>
        <charset val="1"/>
      </rPr>
      <t xml:space="preserve">TR-08, 6</t>
    </r>
    <r>
      <rPr>
        <sz val="10"/>
        <color rgb="FF000000"/>
        <rFont val="Noto Sans CJK SC"/>
        <family val="2"/>
      </rPr>
      <t xml:space="preserve">장</t>
    </r>
  </si>
  <si>
    <t xml:space="preserve">T33</t>
  </si>
  <si>
    <r>
      <rPr>
        <sz val="10"/>
        <color rgb="FF000000"/>
        <rFont val="Arial"/>
        <family val="0"/>
        <charset val="1"/>
      </rPr>
      <t xml:space="preserve">safety_monitor </t>
    </r>
    <r>
      <rPr>
        <sz val="10"/>
        <color rgb="FF000000"/>
        <rFont val="Noto Sans CJK SC"/>
        <family val="2"/>
      </rPr>
      <t xml:space="preserve">확장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데이터 최신성</t>
    </r>
    <r>
      <rPr>
        <sz val="10"/>
        <color rgb="FF000000"/>
        <rFont val="Arial"/>
        <family val="0"/>
        <charset val="1"/>
      </rPr>
      <t xml:space="preserve">, heartbeat)</t>
    </r>
  </si>
  <si>
    <r>
      <rPr>
        <sz val="10"/>
        <color rgb="FF000000"/>
        <rFont val="Arial"/>
        <family val="0"/>
        <charset val="1"/>
      </rPr>
      <t xml:space="preserve">4.6</t>
    </r>
    <r>
      <rPr>
        <sz val="10"/>
        <color rgb="FF000000"/>
        <rFont val="Noto Sans CJK SC"/>
        <family val="2"/>
      </rPr>
      <t xml:space="preserve">절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위험 </t>
    </r>
    <r>
      <rPr>
        <sz val="10"/>
        <color rgb="FF000000"/>
        <rFont val="Arial"/>
        <family val="0"/>
        <charset val="1"/>
      </rPr>
      <t xml:space="preserve">10</t>
    </r>
  </si>
  <si>
    <t xml:space="preserve">T34</t>
  </si>
  <si>
    <r>
      <rPr>
        <sz val="10"/>
        <color rgb="FF000000"/>
        <rFont val="Noto Sans CJK SC"/>
        <family val="2"/>
      </rPr>
      <t xml:space="preserve">반복성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회 측정</t>
    </r>
  </si>
  <si>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장 </t>
    </r>
    <r>
      <rPr>
        <sz val="10"/>
        <color rgb="FF000000"/>
        <rFont val="Arial"/>
        <family val="0"/>
        <charset val="1"/>
      </rPr>
      <t xml:space="preserve">KPI</t>
    </r>
  </si>
  <si>
    <t xml:space="preserve">T35</t>
  </si>
  <si>
    <r>
      <rPr>
        <sz val="10"/>
        <color rgb="FF000000"/>
        <rFont val="Arial"/>
        <family val="0"/>
        <charset val="1"/>
      </rPr>
      <t xml:space="preserve">Spring Boot: </t>
    </r>
    <r>
      <rPr>
        <sz val="10"/>
        <color rgb="FF000000"/>
        <rFont val="Noto Sans CJK SC"/>
        <family val="2"/>
      </rPr>
      <t xml:space="preserve">작업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공작물 관리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측정 이력 조회</t>
    </r>
  </si>
  <si>
    <r>
      <rPr>
        <sz val="10"/>
        <color rgb="FF000000"/>
        <rFont val="Arial"/>
        <family val="0"/>
        <charset val="1"/>
      </rPr>
      <t xml:space="preserve">4.3.4, 4.6</t>
    </r>
    <r>
      <rPr>
        <sz val="10"/>
        <color rgb="FF000000"/>
        <rFont val="Noto Sans CJK SC"/>
        <family val="2"/>
      </rPr>
      <t xml:space="preserve">절</t>
    </r>
  </si>
  <si>
    <t xml:space="preserve">T36</t>
  </si>
  <si>
    <r>
      <rPr>
        <sz val="10"/>
        <color rgb="FF000000"/>
        <rFont val="Noto Sans CJK SC"/>
        <family val="2"/>
      </rPr>
      <t xml:space="preserve">엣지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경로 후보 강조와 좌표 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홈 복귀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재시작 진행 상태 표시</t>
    </r>
  </si>
  <si>
    <t xml:space="preserve">4.4.5, 4.4.4</t>
  </si>
  <si>
    <t xml:space="preserve">T37</t>
  </si>
  <si>
    <r>
      <rPr>
        <sz val="10"/>
        <color rgb="FF000000"/>
        <rFont val="Noto Sans CJK SC"/>
        <family val="2"/>
      </rPr>
      <t xml:space="preserve">기능 동결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월요일 저녁</t>
    </r>
    <r>
      <rPr>
        <sz val="10"/>
        <color rgb="FF000000"/>
        <rFont val="Arial"/>
        <family val="0"/>
        <charset val="1"/>
      </rPr>
      <t xml:space="preserve">)</t>
    </r>
  </si>
  <si>
    <t xml:space="preserve">T38</t>
  </si>
  <si>
    <r>
      <rPr>
        <sz val="10"/>
        <color rgb="FF000000"/>
        <rFont val="Noto Sans CJK SC"/>
        <family val="2"/>
      </rPr>
      <t xml:space="preserve">블록 교체 후 무수정 재실행</t>
    </r>
    <r>
      <rPr>
        <sz val="10"/>
        <color rgb="FF000000"/>
        <rFont val="Arial"/>
        <family val="0"/>
        <charset val="1"/>
      </rPr>
      <t xml:space="preserve">, TR-03, 20</t>
    </r>
    <r>
      <rPr>
        <sz val="10"/>
        <color rgb="FF000000"/>
        <rFont val="Noto Sans CJK SC"/>
        <family val="2"/>
      </rPr>
      <t xml:space="preserve">회 연속 오검출 시험</t>
    </r>
  </si>
  <si>
    <r>
      <rPr>
        <sz val="10"/>
        <color rgb="FF000000"/>
        <rFont val="Arial"/>
        <family val="0"/>
        <charset val="1"/>
      </rPr>
      <t xml:space="preserve">TR-02, TR-03, 5</t>
    </r>
    <r>
      <rPr>
        <sz val="10"/>
        <color rgb="FF000000"/>
        <rFont val="Noto Sans CJK SC"/>
        <family val="2"/>
      </rPr>
      <t xml:space="preserve">장</t>
    </r>
  </si>
  <si>
    <t xml:space="preserve">T39</t>
  </si>
  <si>
    <r>
      <rPr>
        <sz val="10"/>
        <color rgb="FF000000"/>
        <rFont val="Arial"/>
        <family val="0"/>
        <charset val="1"/>
      </rPr>
      <t xml:space="preserve">TR-04 </t>
    </r>
    <r>
      <rPr>
        <sz val="10"/>
        <color rgb="FF000000"/>
        <rFont val="Noto Sans CJK SC"/>
        <family val="2"/>
      </rPr>
      <t xml:space="preserve">직접교시 시간 비교</t>
    </r>
    <r>
      <rPr>
        <sz val="10"/>
        <color rgb="FF000000"/>
        <rFont val="Arial"/>
        <family val="0"/>
        <charset val="1"/>
      </rPr>
      <t xml:space="preserve">, TR-07 </t>
    </r>
    <r>
      <rPr>
        <sz val="10"/>
        <color rgb="FF000000"/>
        <rFont val="Noto Sans CJK SC"/>
        <family val="2"/>
      </rPr>
      <t xml:space="preserve">안전 시험</t>
    </r>
  </si>
  <si>
    <t xml:space="preserve">T40</t>
  </si>
  <si>
    <r>
      <rPr>
        <sz val="10"/>
        <color rgb="FF000000"/>
        <rFont val="Arial"/>
        <family val="0"/>
        <charset val="1"/>
      </rPr>
      <t xml:space="preserve">TR-09 </t>
    </r>
    <r>
      <rPr>
        <sz val="10"/>
        <color rgb="FF000000"/>
        <rFont val="Noto Sans CJK SC"/>
        <family val="2"/>
      </rPr>
      <t xml:space="preserve">데이터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명령 연동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로그 검증</t>
    </r>
  </si>
  <si>
    <t xml:space="preserve">TR-09</t>
  </si>
  <si>
    <t xml:space="preserve">T41</t>
  </si>
  <si>
    <r>
      <rPr>
        <sz val="10"/>
        <color rgb="FF000000"/>
        <rFont val="Arial"/>
        <family val="0"/>
        <charset val="1"/>
      </rPr>
      <t xml:space="preserve">TR-05 (</t>
    </r>
    <r>
      <rPr>
        <sz val="10"/>
        <color rgb="FF000000"/>
        <rFont val="Noto Sans CJK SC"/>
        <family val="2"/>
      </rPr>
      <t xml:space="preserve">반영 지연 </t>
    </r>
    <r>
      <rPr>
        <sz val="10"/>
        <color rgb="FF000000"/>
        <rFont val="Arial"/>
        <family val="0"/>
        <charset val="1"/>
      </rPr>
      <t xml:space="preserve">200 ms, </t>
    </r>
    <r>
      <rPr>
        <sz val="10"/>
        <color rgb="FF000000"/>
        <rFont val="Noto Sans CJK SC"/>
        <family val="2"/>
      </rPr>
      <t xml:space="preserve">중지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초</t>
    </r>
    <r>
      <rPr>
        <sz val="10"/>
        <color rgb="FF000000"/>
        <rFont val="Arial"/>
        <family val="0"/>
        <charset val="1"/>
      </rPr>
      <t xml:space="preserve">), TR-10 </t>
    </r>
    <r>
      <rPr>
        <sz val="10"/>
        <color rgb="FF000000"/>
        <rFont val="Noto Sans CJK SC"/>
        <family val="2"/>
      </rPr>
      <t xml:space="preserve">저장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조회 연동</t>
    </r>
  </si>
  <si>
    <t xml:space="preserve">T42</t>
  </si>
  <si>
    <r>
      <rPr>
        <sz val="10"/>
        <color rgb="FF000000"/>
        <rFont val="Noto Sans CJK SC"/>
        <family val="2"/>
      </rPr>
      <t xml:space="preserve">버그 수정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시연 리허설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회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백업 영상 녹화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결과 정리</t>
    </r>
  </si>
  <si>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장</t>
    </r>
  </si>
  <si>
    <r>
      <rPr>
        <b val="true"/>
        <sz val="9"/>
        <color rgb="FF000000"/>
        <rFont val="Noto Sans CJK SC"/>
        <family val="2"/>
      </rPr>
      <t xml:space="preserve">색상 범례</t>
    </r>
    <r>
      <rPr>
        <b val="true"/>
        <sz val="9"/>
        <color rgb="FF000000"/>
        <rFont val="Arial"/>
        <family val="0"/>
        <charset val="1"/>
      </rPr>
      <t xml:space="preserve">:</t>
    </r>
  </si>
  <si>
    <r>
      <rPr>
        <i val="true"/>
        <sz val="9"/>
        <color rgb="FF595959"/>
        <rFont val="Noto Sans CJK SC"/>
        <family val="2"/>
      </rPr>
      <t xml:space="preserve">공동 작업은 앞에 적힌 사람의 색으로 표시한다</t>
    </r>
    <r>
      <rPr>
        <i val="true"/>
        <sz val="9"/>
        <color rgb="FF595959"/>
        <rFont val="Arial"/>
        <family val="0"/>
        <charset val="1"/>
      </rPr>
      <t xml:space="preserve">.</t>
    </r>
  </si>
  <si>
    <t xml:space="preserve">마일스톤과 시험 계획</t>
  </si>
  <si>
    <r>
      <rPr>
        <i val="true"/>
        <sz val="9"/>
        <color rgb="FF595959"/>
        <rFont val="Noto Sans CJK SC"/>
        <family val="2"/>
      </rPr>
      <t xml:space="preserve">노란색 칸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달성 여부</t>
    </r>
    <r>
      <rPr>
        <i val="true"/>
        <sz val="9"/>
        <color rgb="FF595959"/>
        <rFont val="Arial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결과</t>
    </r>
    <r>
      <rPr>
        <i val="true"/>
        <sz val="9"/>
        <color rgb="FF595959"/>
        <rFont val="Arial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만 수정한다</t>
    </r>
    <r>
      <rPr>
        <i val="true"/>
        <sz val="9"/>
        <color rgb="FF595959"/>
        <rFont val="Arial"/>
        <family val="0"/>
        <charset val="1"/>
      </rPr>
      <t xml:space="preserve">.</t>
    </r>
  </si>
  <si>
    <t xml:space="preserve">통과 조건</t>
  </si>
  <si>
    <t xml:space="preserve">확인 주관</t>
  </si>
  <si>
    <t xml:space="preserve">달성 여부</t>
  </si>
  <si>
    <t xml:space="preserve">M1</t>
  </si>
  <si>
    <r>
      <rPr>
        <sz val="10"/>
        <color rgb="FF000000"/>
        <rFont val="Arial"/>
        <family val="0"/>
        <charset val="1"/>
      </rPr>
      <t xml:space="preserve">9/18(</t>
    </r>
    <r>
      <rPr>
        <sz val="10"/>
        <color rgb="FF000000"/>
        <rFont val="Noto Sans CJK SC"/>
        <family val="2"/>
      </rPr>
      <t xml:space="preserve">금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</si>
  <si>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인터페이스 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Noto Sans CJK SC"/>
        <family val="2"/>
      </rPr>
      <t xml:space="preserve">동결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전 노드 빈 껍데기 빌드 통과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좌표 기준 확정</t>
    </r>
  </si>
  <si>
    <r>
      <rPr>
        <sz val="10"/>
        <color rgb="FF000000"/>
        <rFont val="Noto Sans CJK SC"/>
        <family val="2"/>
      </rPr>
      <t xml:space="preserve">인터페이스 동결과 </t>
    </r>
    <r>
      <rPr>
        <sz val="10"/>
        <color rgb="FF000000"/>
        <rFont val="Arial"/>
        <family val="0"/>
        <charset val="1"/>
      </rPr>
      <t xml:space="preserve">TCP·</t>
    </r>
    <r>
      <rPr>
        <sz val="10"/>
        <color rgb="FF000000"/>
        <rFont val="Noto Sans CJK SC"/>
        <family val="2"/>
      </rPr>
      <t xml:space="preserve">툴 무게 등록은 반드시 당일 완료</t>
    </r>
  </si>
  <si>
    <t xml:space="preserve">미달성</t>
  </si>
  <si>
    <t xml:space="preserve">M2</t>
  </si>
  <si>
    <r>
      <rPr>
        <sz val="10"/>
        <color rgb="FF000000"/>
        <rFont val="Arial"/>
        <family val="0"/>
        <charset val="1"/>
      </rPr>
      <t xml:space="preserve">9/19(</t>
    </r>
    <r>
      <rPr>
        <sz val="10"/>
        <color rgb="FF000000"/>
        <rFont val="Noto Sans CJK SC"/>
        <family val="2"/>
      </rPr>
      <t xml:space="preserve">토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</si>
  <si>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ROS: Virtual Mode</t>
    </r>
    <r>
      <rPr>
        <sz val="10"/>
        <color rgb="FF000000"/>
        <rFont val="Noto Sans CJK SC"/>
        <family val="2"/>
      </rPr>
      <t xml:space="preserve">와 </t>
    </r>
    <r>
      <rPr>
        <sz val="10"/>
        <color rgb="FF000000"/>
        <rFont val="Arial"/>
        <family val="0"/>
        <charset val="1"/>
      </rPr>
      <t xml:space="preserve">sim</t>
    </r>
    <r>
      <rPr>
        <sz val="10"/>
        <color rgb="FF000000"/>
        <rFont val="Noto Sans CJK SC"/>
        <family val="2"/>
      </rPr>
      <t xml:space="preserve">으로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점 탐색에서 직육면체 계산까지 통과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웹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목업 데이터로 </t>
    </r>
    <r>
      <rPr>
        <sz val="10"/>
        <color rgb="FF000000"/>
        <rFont val="Arial"/>
        <family val="0"/>
        <charset val="1"/>
      </rPr>
      <t xml:space="preserve">3D </t>
    </r>
    <r>
      <rPr>
        <sz val="10"/>
        <color rgb="FF000000"/>
        <rFont val="Noto Sans CJK SC"/>
        <family val="2"/>
      </rPr>
      <t xml:space="preserve">표시</t>
    </r>
  </si>
  <si>
    <t xml:space="preserve">M3</t>
  </si>
  <si>
    <r>
      <rPr>
        <sz val="10"/>
        <color rgb="FF000000"/>
        <rFont val="Arial"/>
        <family val="0"/>
        <charset val="1"/>
      </rPr>
      <t xml:space="preserve">9/20(</t>
    </r>
    <r>
      <rPr>
        <sz val="10"/>
        <color rgb="FF000000"/>
        <rFont val="Noto Sans CJK SC"/>
        <family val="2"/>
      </rPr>
      <t xml:space="preserve">일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</si>
  <si>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실기에서 윗면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점과 모서리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방향 이상 검출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웹 버튼으로 </t>
    </r>
    <r>
      <rPr>
        <sz val="10"/>
        <color rgb="FF000000"/>
        <rFont val="Arial"/>
        <family val="0"/>
        <charset val="1"/>
      </rPr>
      <t xml:space="preserve">sim </t>
    </r>
    <r>
      <rPr>
        <sz val="10"/>
        <color rgb="FF000000"/>
        <rFont val="Noto Sans CJK SC"/>
        <family val="2"/>
      </rPr>
      <t xml:space="preserve">스캔 시작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중지 동작</t>
    </r>
  </si>
  <si>
    <r>
      <rPr>
        <sz val="10"/>
        <color rgb="FF000000"/>
        <rFont val="Noto Sans CJK SC"/>
        <family val="2"/>
      </rPr>
      <t xml:space="preserve">탐침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기준 블록이 이날까지 없으면 실기 일정 전체가 하루씩 밀린다</t>
    </r>
  </si>
  <si>
    <t xml:space="preserve">M4</t>
  </si>
  <si>
    <r>
      <rPr>
        <sz val="10"/>
        <color rgb="FF000000"/>
        <rFont val="Arial"/>
        <family val="0"/>
        <charset val="1"/>
      </rPr>
      <t xml:space="preserve">9/21(</t>
    </r>
    <r>
      <rPr>
        <sz val="10"/>
        <color rgb="FF000000"/>
        <rFont val="Noto Sans CJK SC"/>
        <family val="2"/>
      </rPr>
      <t xml:space="preserve">월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</si>
  <si>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시작 버튼에서 실기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점 탐색을 거쳐 </t>
    </r>
    <r>
      <rPr>
        <sz val="10"/>
        <color rgb="FF000000"/>
        <rFont val="Arial"/>
        <family val="0"/>
        <charset val="1"/>
      </rPr>
      <t xml:space="preserve">3D </t>
    </r>
    <r>
      <rPr>
        <sz val="10"/>
        <color rgb="FF000000"/>
        <rFont val="Noto Sans CJK SC"/>
        <family val="2"/>
      </rPr>
      <t xml:space="preserve">직육면체 표시까지 종단 통과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저녁에 기능 동결</t>
    </r>
  </si>
  <si>
    <t xml:space="preserve">동결 이후에는 버그 수정만 한다</t>
  </si>
  <si>
    <t xml:space="preserve">M5</t>
  </si>
  <si>
    <r>
      <rPr>
        <sz val="10"/>
        <color rgb="FF000000"/>
        <rFont val="Arial"/>
        <family val="0"/>
        <charset val="1"/>
      </rPr>
      <t xml:space="preserve">9/22(</t>
    </r>
    <r>
      <rPr>
        <sz val="10"/>
        <color rgb="FF000000"/>
        <rFont val="Noto Sans CJK SC"/>
        <family val="2"/>
      </rPr>
      <t xml:space="preserve">화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</si>
  <si>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BRD 9</t>
    </r>
    <r>
      <rPr>
        <sz val="10"/>
        <color rgb="FF000000"/>
        <rFont val="Noto Sans CJK SC"/>
        <family val="2"/>
      </rPr>
      <t xml:space="preserve">장 수락 기준 체크리스트 통과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시연</t>
    </r>
  </si>
  <si>
    <r>
      <rPr>
        <b val="true"/>
        <sz val="11"/>
        <color rgb="FF1F3864"/>
        <rFont val="Noto Sans CJK SC"/>
        <family val="2"/>
      </rPr>
      <t xml:space="preserve">시험 계획 </t>
    </r>
    <r>
      <rPr>
        <b val="true"/>
        <sz val="11"/>
        <color rgb="FF1F3864"/>
        <rFont val="Arial"/>
        <family val="0"/>
        <charset val="1"/>
      </rPr>
      <t xml:space="preserve">(BRD 10</t>
    </r>
    <r>
      <rPr>
        <b val="true"/>
        <sz val="11"/>
        <color rgb="FF1F3864"/>
        <rFont val="Noto Sans CJK SC"/>
        <family val="2"/>
      </rPr>
      <t xml:space="preserve">장 </t>
    </r>
    <r>
      <rPr>
        <b val="true"/>
        <sz val="11"/>
        <color rgb="FF1F3864"/>
        <rFont val="Arial"/>
        <family val="0"/>
        <charset val="1"/>
      </rPr>
      <t xml:space="preserve">TR, </t>
    </r>
    <r>
      <rPr>
        <b val="true"/>
        <sz val="11"/>
        <color rgb="FF1F3864"/>
        <rFont val="Noto Sans CJK SC"/>
        <family val="2"/>
      </rPr>
      <t xml:space="preserve">합격 기준은 </t>
    </r>
    <r>
      <rPr>
        <b val="true"/>
        <sz val="11"/>
        <color rgb="FF1F3864"/>
        <rFont val="Arial"/>
        <family val="0"/>
        <charset val="1"/>
      </rPr>
      <t xml:space="preserve">BRD 5</t>
    </r>
    <r>
      <rPr>
        <b val="true"/>
        <sz val="11"/>
        <color rgb="FF1F3864"/>
        <rFont val="Noto Sans CJK SC"/>
        <family val="2"/>
      </rPr>
      <t xml:space="preserve">장</t>
    </r>
    <r>
      <rPr>
        <b val="true"/>
        <sz val="11"/>
        <color rgb="FF1F3864"/>
        <rFont val="Arial"/>
        <family val="0"/>
        <charset val="1"/>
      </rPr>
      <t xml:space="preserve">·9</t>
    </r>
    <r>
      <rPr>
        <b val="true"/>
        <sz val="11"/>
        <color rgb="FF1F3864"/>
        <rFont val="Noto Sans CJK SC"/>
        <family val="2"/>
      </rPr>
      <t xml:space="preserve">장</t>
    </r>
    <r>
      <rPr>
        <b val="true"/>
        <sz val="11"/>
        <color rgb="FF1F3864"/>
        <rFont val="Arial"/>
        <family val="0"/>
        <charset val="1"/>
      </rPr>
      <t xml:space="preserve">)</t>
    </r>
  </si>
  <si>
    <t xml:space="preserve">시험 내용</t>
  </si>
  <si>
    <t xml:space="preserve">합격 기준</t>
  </si>
  <si>
    <t xml:space="preserve">결과</t>
  </si>
  <si>
    <t xml:space="preserve">TR-01</t>
  </si>
  <si>
    <t xml:space="preserve">D3 9/20</t>
  </si>
  <si>
    <r>
      <rPr>
        <sz val="10"/>
        <color rgb="FF000000"/>
        <rFont val="Noto Sans CJK SC"/>
        <family val="2"/>
      </rPr>
      <t xml:space="preserve">접촉 판정 기초 시험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무접촉 외력 잡음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조회 주기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검출 하중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판정 지연 측정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같은 점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회 접촉 좌표 산포</t>
    </r>
  </si>
  <si>
    <r>
      <rPr>
        <sz val="10"/>
        <color rgb="FF000000"/>
        <rFont val="Noto Sans CJK SC"/>
        <family val="2"/>
      </rPr>
      <t xml:space="preserve">현지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학민 지원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</si>
  <si>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접촉 검출 하중 </t>
    </r>
    <r>
      <rPr>
        <sz val="10"/>
        <color rgb="FF000000"/>
        <rFont val="Arial"/>
        <family val="0"/>
        <charset val="1"/>
      </rPr>
      <t xml:space="preserve">5 N </t>
    </r>
    <r>
      <rPr>
        <sz val="10"/>
        <color rgb="FF000000"/>
        <rFont val="Noto Sans CJK SC"/>
        <family val="2"/>
      </rPr>
      <t xml:space="preserve">이하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임계값 확정</t>
    </r>
  </si>
  <si>
    <t xml:space="preserve">미실시</t>
  </si>
  <si>
    <t xml:space="preserve">TR-02</t>
  </si>
  <si>
    <t xml:space="preserve">D4~D5</t>
  </si>
  <si>
    <r>
      <rPr>
        <sz val="10"/>
        <color rgb="FF000000"/>
        <rFont val="Noto Sans CJK SC"/>
        <family val="2"/>
      </rPr>
      <t xml:space="preserve">치수 정확도 시험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기준 부재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종의 가로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세로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높이와 모서리 좌표 오차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블록 교체 후 코드 수정 없이 재실행</t>
    </r>
  </si>
  <si>
    <r>
      <rPr>
        <sz val="10"/>
        <color rgb="FF000000"/>
        <rFont val="Arial"/>
        <family val="0"/>
        <charset val="1"/>
      </rPr>
      <t xml:space="preserve">±3 mm </t>
    </r>
    <r>
      <rPr>
        <sz val="10"/>
        <color rgb="FF000000"/>
        <rFont val="Noto Sans CJK SC"/>
        <family val="2"/>
      </rPr>
      <t xml:space="preserve">이내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전체 탐색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초 이내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반복성 표준편차 </t>
    </r>
    <r>
      <rPr>
        <sz val="10"/>
        <color rgb="FF000000"/>
        <rFont val="Arial"/>
        <family val="0"/>
        <charset val="1"/>
      </rPr>
      <t xml:space="preserve">0.3 mm </t>
    </r>
    <r>
      <rPr>
        <sz val="10"/>
        <color rgb="FF000000"/>
        <rFont val="Noto Sans CJK SC"/>
        <family val="2"/>
      </rPr>
      <t xml:space="preserve">이내</t>
    </r>
  </si>
  <si>
    <t xml:space="preserve">TR-03</t>
  </si>
  <si>
    <t xml:space="preserve">D5 9/22</t>
  </si>
  <si>
    <r>
      <rPr>
        <sz val="10"/>
        <color rgb="FF000000"/>
        <rFont val="Noto Sans CJK SC"/>
        <family val="2"/>
      </rPr>
      <t xml:space="preserve">배치 민감도 시험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중심 </t>
    </r>
    <r>
      <rPr>
        <sz val="10"/>
        <color rgb="FF000000"/>
        <rFont val="Arial"/>
        <family val="0"/>
        <charset val="1"/>
      </rPr>
      <t xml:space="preserve">±10 mm, </t>
    </r>
    <r>
      <rPr>
        <sz val="10"/>
        <color rgb="FF000000"/>
        <rFont val="Noto Sans CJK SC"/>
        <family val="2"/>
      </rPr>
      <t xml:space="preserve">회전 </t>
    </r>
    <r>
      <rPr>
        <sz val="10"/>
        <color rgb="FF000000"/>
        <rFont val="Arial"/>
        <family val="0"/>
        <charset val="1"/>
      </rPr>
      <t xml:space="preserve">±2°</t>
    </r>
    <r>
      <rPr>
        <sz val="10"/>
        <color rgb="FF000000"/>
        <rFont val="Noto Sans CJK SC"/>
        <family val="2"/>
      </rPr>
      <t xml:space="preserve">를 주고 오차 변화 기록</t>
    </r>
  </si>
  <si>
    <r>
      <rPr>
        <sz val="10"/>
        <color rgb="FF000000"/>
        <rFont val="Noto Sans CJK SC"/>
        <family val="2"/>
      </rPr>
      <t xml:space="preserve">기록 제출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일정이 밀리면 축소 대상</t>
    </r>
    <r>
      <rPr>
        <sz val="10"/>
        <color rgb="FF000000"/>
        <rFont val="Arial"/>
        <family val="0"/>
        <charset val="1"/>
      </rPr>
      <t xml:space="preserve">)</t>
    </r>
  </si>
  <si>
    <t xml:space="preserve">TR-04</t>
  </si>
  <si>
    <r>
      <rPr>
        <sz val="10"/>
        <color rgb="FF000000"/>
        <rFont val="Noto Sans CJK SC"/>
        <family val="2"/>
      </rPr>
      <t xml:space="preserve">기준선 비교 시험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같은 부재의 직접교시 소요 시간과 셋업 시간 비교</t>
    </r>
  </si>
  <si>
    <r>
      <rPr>
        <sz val="10"/>
        <color rgb="FF000000"/>
        <rFont val="Noto Sans CJK SC"/>
        <family val="2"/>
      </rPr>
      <t xml:space="preserve">셋업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분 이내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직접교시 대비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이상 단축</t>
    </r>
  </si>
  <si>
    <t xml:space="preserve">TR-05</t>
  </si>
  <si>
    <r>
      <rPr>
        <sz val="10"/>
        <color rgb="FF000000"/>
        <rFont val="Noto Sans CJK SC"/>
        <family val="2"/>
      </rPr>
      <t xml:space="preserve">관제 화면 시험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반영 지연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로그 누락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작업 중지 반응 시간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네 버튼의 독립 명령 호출</t>
    </r>
  </si>
  <si>
    <r>
      <rPr>
        <sz val="10"/>
        <color rgb="FF000000"/>
        <rFont val="Noto Sans CJK SC"/>
        <family val="2"/>
      </rPr>
      <t xml:space="preserve">반영 지연 </t>
    </r>
    <r>
      <rPr>
        <sz val="10"/>
        <color rgb="FF000000"/>
        <rFont val="Arial"/>
        <family val="0"/>
        <charset val="1"/>
      </rPr>
      <t xml:space="preserve">200 ms </t>
    </r>
    <r>
      <rPr>
        <sz val="10"/>
        <color rgb="FF000000"/>
        <rFont val="Noto Sans CJK SC"/>
        <family val="2"/>
      </rPr>
      <t xml:space="preserve">이내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중지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초 이내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로그 누락 없음</t>
    </r>
  </si>
  <si>
    <t xml:space="preserve">TR-07</t>
  </si>
  <si>
    <r>
      <rPr>
        <sz val="10"/>
        <color rgb="FF000000"/>
        <rFont val="Noto Sans CJK SC"/>
        <family val="2"/>
      </rPr>
      <t xml:space="preserve">안전 시험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작업 중지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과대 외력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미접촉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예외 주입 시 이동 중지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순응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힘 제어 해제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기록 보존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안전복귀 별도 실행</t>
    </r>
  </si>
  <si>
    <r>
      <rPr>
        <sz val="10"/>
        <color rgb="FF000000"/>
        <rFont val="Noto Sans CJK SC"/>
        <family val="2"/>
      </rPr>
      <t xml:space="preserve">학민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현지 지원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</si>
  <si>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모든 종료 경로에서 순응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힘 제어 해제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원인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진행 기록 보존</t>
    </r>
  </si>
  <si>
    <t xml:space="preserve">TR-08</t>
  </si>
  <si>
    <t xml:space="preserve">D4 9/21</t>
  </si>
  <si>
    <r>
      <rPr>
        <sz val="10"/>
        <color rgb="FF000000"/>
        <rFont val="Noto Sans CJK SC"/>
        <family val="2"/>
      </rPr>
      <t xml:space="preserve">중단 및 재시작 시험</t>
    </r>
    <r>
      <rPr>
        <sz val="10"/>
        <color rgb="FF000000"/>
        <rFont val="Arial"/>
        <family val="0"/>
        <charset val="1"/>
      </rPr>
      <t xml:space="preserve">: +x </t>
    </r>
    <r>
      <rPr>
        <sz val="10"/>
        <color rgb="FF000000"/>
        <rFont val="Noto Sans CJK SC"/>
        <family val="2"/>
      </rPr>
      <t xml:space="preserve">탐색 중 중지 후 재시작으로 기존 윗면 높이를 유지하고 중단 위치부터 이어가는지 로그로 검증</t>
    </r>
  </si>
  <si>
    <r>
      <rPr>
        <sz val="10"/>
        <color rgb="FF000000"/>
        <rFont val="Noto Sans CJK SC"/>
        <family val="2"/>
      </rPr>
      <t xml:space="preserve">병후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학민 지원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</si>
  <si>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기존 측정값 유지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전체 재측정 없음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중지만으로 홈 복귀하지 않음</t>
    </r>
  </si>
  <si>
    <r>
      <rPr>
        <sz val="10"/>
        <color rgb="FF000000"/>
        <rFont val="Noto Sans CJK SC"/>
        <family val="2"/>
      </rPr>
      <t xml:space="preserve">데이터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명령 연동 시험</t>
    </r>
    <r>
      <rPr>
        <sz val="10"/>
        <color rgb="FF000000"/>
        <rFont val="Arial"/>
        <family val="0"/>
        <charset val="1"/>
      </rPr>
      <t xml:space="preserve">: sim </t>
    </r>
    <r>
      <rPr>
        <sz val="10"/>
        <color rgb="FF000000"/>
        <rFont val="Noto Sans CJK SC"/>
        <family val="2"/>
      </rPr>
      <t xml:space="preserve">데이터로 취득 시각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프레임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유효성 보존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이벤트와 동작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대응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명령 중복 처리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접수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완료 구분</t>
    </r>
  </si>
  <si>
    <r>
      <rPr>
        <sz val="10"/>
        <color rgb="FF000000"/>
        <rFont val="Noto Sans CJK SC"/>
        <family val="2"/>
      </rPr>
      <t xml:space="preserve">중복 명령 미실행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접수와 완료 구분 표시</t>
    </r>
  </si>
  <si>
    <t xml:space="preserve">TR-10</t>
  </si>
  <si>
    <r>
      <rPr>
        <sz val="10"/>
        <color rgb="FF000000"/>
        <rFont val="Noto Sans CJK SC"/>
        <family val="2"/>
      </rPr>
      <t xml:space="preserve">저장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조회 연동 시험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메인 </t>
    </r>
    <r>
      <rPr>
        <sz val="10"/>
        <color rgb="FF000000"/>
        <rFont val="Arial"/>
        <family val="0"/>
        <charset val="1"/>
      </rPr>
      <t xml:space="preserve">PC </t>
    </r>
    <r>
      <rPr>
        <sz val="10"/>
        <color rgb="FF000000"/>
        <rFont val="Noto Sans CJK SC"/>
        <family val="2"/>
      </rPr>
      <t xml:space="preserve">원본</t>
    </r>
    <r>
      <rPr>
        <sz val="10"/>
        <color rgb="FF000000"/>
        <rFont val="Arial"/>
        <family val="0"/>
        <charset val="1"/>
      </rPr>
      <t xml:space="preserve">, FastAPI </t>
    </r>
    <r>
      <rPr>
        <sz val="10"/>
        <color rgb="FF000000"/>
        <rFont val="Noto Sans CJK SC"/>
        <family val="2"/>
      </rPr>
      <t xml:space="preserve">쓰기</t>
    </r>
    <r>
      <rPr>
        <sz val="10"/>
        <color rgb="FF000000"/>
        <rFont val="Arial"/>
        <family val="0"/>
        <charset val="1"/>
      </rPr>
      <t xml:space="preserve">, PostgreSQL </t>
    </r>
    <r>
      <rPr>
        <sz val="10"/>
        <color rgb="FF000000"/>
        <rFont val="Noto Sans CJK SC"/>
        <family val="2"/>
      </rPr>
      <t xml:space="preserve">저장</t>
    </r>
    <r>
      <rPr>
        <sz val="10"/>
        <color rgb="FF000000"/>
        <rFont val="Arial"/>
        <family val="0"/>
        <charset val="1"/>
      </rPr>
      <t xml:space="preserve">, Spring Boot </t>
    </r>
    <r>
      <rPr>
        <sz val="10"/>
        <color rgb="FF000000"/>
        <rFont val="Noto Sans CJK SC"/>
        <family val="2"/>
      </rPr>
      <t xml:space="preserve">조회의 결과 식별자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설정 대조</t>
    </r>
  </si>
  <si>
    <r>
      <rPr>
        <sz val="10"/>
        <color rgb="FF000000"/>
        <rFont val="Noto Sans CJK SC"/>
        <family val="2"/>
      </rPr>
      <t xml:space="preserve">식별자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설정 일치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실패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미측정값을 정상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으로 저장하지 않음</t>
    </r>
  </si>
  <si>
    <t xml:space="preserve">연속 시험</t>
  </si>
  <si>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회 연속 탐색 중 거짓 접촉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거짓 소실 횟수</t>
    </r>
  </si>
  <si>
    <r>
      <rPr>
        <sz val="10"/>
        <color rgb="FF000000"/>
        <rFont val="Noto Sans CJK SC"/>
        <family val="2"/>
      </rPr>
      <t xml:space="preserve">오검출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회 이하</t>
    </r>
  </si>
  <si>
    <r>
      <rPr>
        <i val="true"/>
        <sz val="9"/>
        <color rgb="FF595959"/>
        <rFont val="Arial"/>
        <family val="0"/>
        <charset val="1"/>
      </rPr>
      <t xml:space="preserve">※ TR-06</t>
    </r>
    <r>
      <rPr>
        <i val="true"/>
        <sz val="9"/>
        <color rgb="FF595959"/>
        <rFont val="Noto Sans CJK SC"/>
        <family val="2"/>
      </rPr>
      <t xml:space="preserve">은 </t>
    </r>
    <r>
      <rPr>
        <i val="true"/>
        <sz val="9"/>
        <color rgb="FF595959"/>
        <rFont val="Arial"/>
        <family val="0"/>
        <charset val="1"/>
      </rPr>
      <t xml:space="preserve">BRD</t>
    </r>
    <r>
      <rPr>
        <i val="true"/>
        <sz val="9"/>
        <color rgb="FF595959"/>
        <rFont val="Noto Sans CJK SC"/>
        <family val="2"/>
      </rPr>
      <t xml:space="preserve">에서 철회된 번호라 없다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홈 복귀를 거친 재시작은 재접근 절차 확정 후 검증한다</t>
    </r>
    <r>
      <rPr>
        <i val="true"/>
        <sz val="9"/>
        <color rgb="FF595959"/>
        <rFont val="Arial"/>
        <family val="0"/>
        <charset val="1"/>
      </rPr>
      <t xml:space="preserve">(BRD 6</t>
    </r>
    <r>
      <rPr>
        <i val="true"/>
        <sz val="9"/>
        <color rgb="FF595959"/>
        <rFont val="Noto Sans CJK SC"/>
        <family val="2"/>
      </rPr>
      <t xml:space="preserve">장</t>
    </r>
    <r>
      <rPr>
        <i val="true"/>
        <sz val="9"/>
        <color rgb="FF595959"/>
        <rFont val="Arial"/>
        <family val="0"/>
        <charset val="1"/>
      </rPr>
      <t xml:space="preserve">).</t>
    </r>
  </si>
  <si>
    <t xml:space="preserve">위험 요소와 범위 조정</t>
  </si>
  <si>
    <t xml:space="preserve">주요 위험</t>
  </si>
  <si>
    <t xml:space="preserve">순위</t>
  </si>
  <si>
    <t xml:space="preserve">위험</t>
  </si>
  <si>
    <t xml:space="preserve">대응</t>
  </si>
  <si>
    <t xml:space="preserve">1</t>
  </si>
  <si>
    <r>
      <rPr>
        <b val="true"/>
        <sz val="10"/>
        <color rgb="FF000000"/>
        <rFont val="Noto Sans CJK SC"/>
        <family val="2"/>
      </rPr>
      <t xml:space="preserve">의석의 작업량</t>
    </r>
    <r>
      <rPr>
        <b val="true"/>
        <sz val="10"/>
        <color rgb="FF000000"/>
        <rFont val="Arial"/>
        <family val="0"/>
        <charset val="1"/>
      </rPr>
      <t xml:space="preserve">: </t>
    </r>
    <r>
      <rPr>
        <b val="true"/>
        <sz val="10"/>
        <color rgb="FF000000"/>
        <rFont val="Noto Sans CJK SC"/>
        <family val="2"/>
      </rPr>
      <t xml:space="preserve">혼자 </t>
    </r>
    <r>
      <rPr>
        <b val="true"/>
        <sz val="10"/>
        <color rgb="FF000000"/>
        <rFont val="Arial"/>
        <family val="0"/>
        <charset val="1"/>
      </rPr>
      <t xml:space="preserve">5</t>
    </r>
    <r>
      <rPr>
        <b val="true"/>
        <sz val="10"/>
        <color rgb="FF000000"/>
        <rFont val="Noto Sans CJK SC"/>
        <family val="2"/>
      </rPr>
      <t xml:space="preserve">일 동안 웹 컴포넌트 </t>
    </r>
    <r>
      <rPr>
        <b val="true"/>
        <sz val="10"/>
        <color rgb="FF000000"/>
        <rFont val="Arial"/>
        <family val="0"/>
        <charset val="1"/>
      </rPr>
      <t xml:space="preserve">5</t>
    </r>
    <r>
      <rPr>
        <b val="true"/>
        <sz val="10"/>
        <color rgb="FF000000"/>
        <rFont val="Noto Sans CJK SC"/>
        <family val="2"/>
      </rPr>
      <t xml:space="preserve">개를 맡는다</t>
    </r>
  </si>
  <si>
    <r>
      <rPr>
        <sz val="10"/>
        <color rgb="FF000000"/>
        <rFont val="Arial"/>
        <family val="0"/>
        <charset val="1"/>
      </rPr>
      <t xml:space="preserve">• Spring Boot</t>
    </r>
    <r>
      <rPr>
        <sz val="10"/>
        <color rgb="FF000000"/>
        <rFont val="Noto Sans CJK SC"/>
        <family val="2"/>
      </rPr>
      <t xml:space="preserve">는 </t>
    </r>
    <r>
      <rPr>
        <sz val="10"/>
        <color rgb="FF000000"/>
        <rFont val="Arial"/>
        <family val="0"/>
        <charset val="1"/>
      </rPr>
      <t xml:space="preserve">Day 4 </t>
    </r>
    <r>
      <rPr>
        <sz val="10"/>
        <color rgb="FF000000"/>
        <rFont val="Noto Sans CJK SC"/>
        <family val="2"/>
      </rPr>
      <t xml:space="preserve">하루로 제한하고 범위를 작업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공작물 </t>
    </r>
    <r>
      <rPr>
        <sz val="10"/>
        <color rgb="FF000000"/>
        <rFont val="Arial"/>
        <family val="0"/>
        <charset val="1"/>
      </rPr>
      <t xml:space="preserve">CRUD</t>
    </r>
    <r>
      <rPr>
        <sz val="10"/>
        <color rgb="FF000000"/>
        <rFont val="Noto Sans CJK SC"/>
        <family val="2"/>
      </rPr>
      <t xml:space="preserve">와 이력 조회로 최소화한다
• </t>
    </r>
    <r>
      <rPr>
        <sz val="10"/>
        <color rgb="FF000000"/>
        <rFont val="Arial"/>
        <family val="0"/>
        <charset val="1"/>
      </rPr>
      <t xml:space="preserve">Must </t>
    </r>
    <r>
      <rPr>
        <sz val="10"/>
        <color rgb="FF000000"/>
        <rFont val="Noto Sans CJK SC"/>
        <family val="2"/>
      </rPr>
      <t xml:space="preserve">항목</t>
    </r>
    <r>
      <rPr>
        <sz val="10"/>
        <color rgb="FF000000"/>
        <rFont val="Arial"/>
        <family val="0"/>
        <charset val="1"/>
      </rPr>
      <t xml:space="preserve">(3D, 4</t>
    </r>
    <r>
      <rPr>
        <sz val="10"/>
        <color rgb="FF000000"/>
        <rFont val="Noto Sans CJK SC"/>
        <family val="2"/>
      </rPr>
      <t xml:space="preserve">버튼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로그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단계 표시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을 </t>
    </r>
    <r>
      <rPr>
        <sz val="10"/>
        <color rgb="FF000000"/>
        <rFont val="Arial"/>
        <family val="0"/>
        <charset val="1"/>
      </rPr>
      <t xml:space="preserve">Day 3</t>
    </r>
    <r>
      <rPr>
        <sz val="10"/>
        <color rgb="FF000000"/>
        <rFont val="Noto Sans CJK SC"/>
        <family val="2"/>
      </rPr>
      <t xml:space="preserve">까지 먼저 끝낸다
• </t>
    </r>
    <r>
      <rPr>
        <sz val="10"/>
        <color rgb="FF000000"/>
        <rFont val="Arial"/>
        <family val="0"/>
        <charset val="1"/>
      </rPr>
      <t xml:space="preserve">Day 5 </t>
    </r>
    <r>
      <rPr>
        <sz val="10"/>
        <color rgb="FF000000"/>
        <rFont val="Noto Sans CJK SC"/>
        <family val="2"/>
      </rPr>
      <t xml:space="preserve">웹 시험</t>
    </r>
    <r>
      <rPr>
        <sz val="10"/>
        <color rgb="FF000000"/>
        <rFont val="Arial"/>
        <family val="0"/>
        <charset val="1"/>
      </rPr>
      <t xml:space="preserve">(TR-05, TR-10)</t>
    </r>
    <r>
      <rPr>
        <sz val="10"/>
        <color rgb="FF000000"/>
        <rFont val="Noto Sans CJK SC"/>
        <family val="2"/>
      </rPr>
      <t xml:space="preserve">은 손이 비는 사람이 같이 측정한다</t>
    </r>
  </si>
  <si>
    <t xml:space="preserve">2</t>
  </si>
  <si>
    <r>
      <rPr>
        <b val="true"/>
        <sz val="10"/>
        <color rgb="FF000000"/>
        <rFont val="Noto Sans CJK SC"/>
        <family val="2"/>
      </rPr>
      <t xml:space="preserve">로봇이 한 대이고 탐침</t>
    </r>
    <r>
      <rPr>
        <b val="true"/>
        <sz val="10"/>
        <color rgb="FF000000"/>
        <rFont val="Arial"/>
        <family val="0"/>
        <charset val="1"/>
      </rPr>
      <t xml:space="preserve">·</t>
    </r>
    <r>
      <rPr>
        <b val="true"/>
        <sz val="10"/>
        <color rgb="FF000000"/>
        <rFont val="Noto Sans CJK SC"/>
        <family val="2"/>
      </rPr>
      <t xml:space="preserve">기준 블록 도착 시점이 미정이다</t>
    </r>
  </si>
  <si>
    <r>
      <rPr>
        <sz val="10"/>
        <color rgb="FF000000"/>
        <rFont val="Noto Sans CJK SC"/>
        <family val="2"/>
      </rPr>
      <t xml:space="preserve">• 실기 점유 계획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아래 표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을 지킨다
• </t>
    </r>
    <r>
      <rPr>
        <sz val="10"/>
        <color rgb="FF000000"/>
        <rFont val="Arial"/>
        <family val="0"/>
        <charset val="1"/>
      </rPr>
      <t xml:space="preserve">Day 2</t>
    </r>
    <r>
      <rPr>
        <sz val="10"/>
        <color rgb="FF000000"/>
        <rFont val="Noto Sans CJK SC"/>
        <family val="2"/>
      </rPr>
      <t xml:space="preserve">까지는 </t>
    </r>
    <r>
      <rPr>
        <sz val="10"/>
        <color rgb="FF000000"/>
        <rFont val="Arial"/>
        <family val="0"/>
        <charset val="1"/>
      </rPr>
      <t xml:space="preserve">sim</t>
    </r>
    <r>
      <rPr>
        <sz val="10"/>
        <color rgb="FF000000"/>
        <rFont val="Noto Sans CJK SC"/>
        <family val="2"/>
      </rPr>
      <t xml:space="preserve">만으로 진행된다
• </t>
    </r>
    <r>
      <rPr>
        <sz val="10"/>
        <color rgb="FF000000"/>
        <rFont val="Arial"/>
        <family val="0"/>
        <charset val="1"/>
      </rPr>
      <t xml:space="preserve">Day 3</t>
    </r>
    <r>
      <rPr>
        <sz val="10"/>
        <color rgb="FF000000"/>
        <rFont val="Noto Sans CJK SC"/>
        <family val="2"/>
      </rPr>
      <t xml:space="preserve">에도 탐침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블록이 없으면 실기 일정 전체가 하루씩 밀린다</t>
    </r>
  </si>
  <si>
    <t xml:space="preserve">3</t>
  </si>
  <si>
    <r>
      <rPr>
        <b val="true"/>
        <sz val="10"/>
        <color rgb="FF000000"/>
        <rFont val="Noto Sans CJK SC"/>
        <family val="2"/>
      </rPr>
      <t xml:space="preserve">현지의 </t>
    </r>
    <r>
      <rPr>
        <b val="true"/>
        <sz val="10"/>
        <color rgb="FF000000"/>
        <rFont val="Arial"/>
        <family val="0"/>
        <charset val="1"/>
      </rPr>
      <t xml:space="preserve">Day 1~2 </t>
    </r>
    <r>
      <rPr>
        <b val="true"/>
        <sz val="10"/>
        <color rgb="FF000000"/>
        <rFont val="Noto Sans CJK SC"/>
        <family val="2"/>
      </rPr>
      <t xml:space="preserve">작업 밀도</t>
    </r>
    <r>
      <rPr>
        <b val="true"/>
        <sz val="10"/>
        <color rgb="FF000000"/>
        <rFont val="Arial"/>
        <family val="0"/>
        <charset val="1"/>
      </rPr>
      <t xml:space="preserve">: </t>
    </r>
    <r>
      <rPr>
        <b val="true"/>
        <sz val="10"/>
        <color rgb="FF000000"/>
        <rFont val="Noto Sans CJK SC"/>
        <family val="2"/>
      </rPr>
      <t xml:space="preserve">판정</t>
    </r>
    <r>
      <rPr>
        <b val="true"/>
        <sz val="10"/>
        <color rgb="FF000000"/>
        <rFont val="Arial"/>
        <family val="0"/>
        <charset val="1"/>
      </rPr>
      <t xml:space="preserve">·</t>
    </r>
    <r>
      <rPr>
        <b val="true"/>
        <sz val="10"/>
        <color rgb="FF000000"/>
        <rFont val="Noto Sans CJK SC"/>
        <family val="2"/>
      </rPr>
      <t xml:space="preserve">계산</t>
    </r>
    <r>
      <rPr>
        <b val="true"/>
        <sz val="10"/>
        <color rgb="FF000000"/>
        <rFont val="Arial"/>
        <family val="0"/>
        <charset val="1"/>
      </rPr>
      <t xml:space="preserve">·</t>
    </r>
    <r>
      <rPr>
        <b val="true"/>
        <sz val="10"/>
        <color rgb="FF000000"/>
        <rFont val="Noto Sans CJK SC"/>
        <family val="2"/>
      </rPr>
      <t xml:space="preserve">감시에 저장소</t>
    </r>
    <r>
      <rPr>
        <b val="true"/>
        <sz val="10"/>
        <color rgb="FF000000"/>
        <rFont val="Arial"/>
        <family val="0"/>
        <charset val="1"/>
      </rPr>
      <t xml:space="preserve">·</t>
    </r>
    <r>
      <rPr>
        <b val="true"/>
        <sz val="10"/>
        <color rgb="FF000000"/>
        <rFont val="Noto Sans CJK SC"/>
        <family val="2"/>
      </rPr>
      <t xml:space="preserve">통합 빌드 관리가 더해졌다</t>
    </r>
  </si>
  <si>
    <r>
      <rPr>
        <sz val="10"/>
        <color rgb="FF000000"/>
        <rFont val="Noto Sans CJK SC"/>
        <family val="2"/>
      </rPr>
      <t xml:space="preserve">• 브랜치 규칙은 단순하게 잡는다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개인 브랜치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저녁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회 </t>
    </r>
    <r>
      <rPr>
        <sz val="10"/>
        <color rgb="FF000000"/>
        <rFont val="Arial"/>
        <family val="0"/>
        <charset val="1"/>
      </rPr>
      <t xml:space="preserve">main </t>
    </r>
    <r>
      <rPr>
        <sz val="10"/>
        <color rgb="FF000000"/>
        <rFont val="Noto Sans CJK SC"/>
        <family val="2"/>
      </rPr>
      <t xml:space="preserve">병합</t>
    </r>
    <r>
      <rPr>
        <sz val="10"/>
        <color rgb="FF000000"/>
        <rFont val="Arial"/>
        <family val="0"/>
        <charset val="1"/>
      </rPr>
      <t xml:space="preserve">)
• </t>
    </r>
    <r>
      <rPr>
        <sz val="10"/>
        <color rgb="FF000000"/>
        <rFont val="Noto Sans CJK SC"/>
        <family val="2"/>
      </rPr>
      <t xml:space="preserve">통합 빌드가 깨지면 원인 노드 담당자가 당일 고친다</t>
    </r>
  </si>
  <si>
    <t xml:space="preserve">실기 로봇 점유 계획</t>
  </si>
  <si>
    <t xml:space="preserve">점유자</t>
  </si>
  <si>
    <t xml:space="preserve">용도</t>
  </si>
  <si>
    <t xml:space="preserve">D1</t>
  </si>
  <si>
    <r>
      <rPr>
        <sz val="10"/>
        <color rgb="FF000000"/>
        <rFont val="Noto Sans CJK SC"/>
        <family val="2"/>
      </rPr>
      <t xml:space="preserve">학민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현지 </t>
    </r>
    <r>
      <rPr>
        <sz val="10"/>
        <color rgb="FF000000"/>
        <rFont val="Arial"/>
        <family val="0"/>
        <charset val="1"/>
      </rPr>
      <t xml:space="preserve">30</t>
    </r>
    <r>
      <rPr>
        <sz val="10"/>
        <color rgb="FF000000"/>
        <rFont val="Noto Sans CJK SC"/>
        <family val="2"/>
      </rPr>
      <t xml:space="preserve">분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</si>
  <si>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실기 연결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툴 무게</t>
    </r>
    <r>
      <rPr>
        <sz val="10"/>
        <color rgb="FF000000"/>
        <rFont val="Arial"/>
        <family val="0"/>
        <charset val="1"/>
      </rPr>
      <t xml:space="preserve">·TCP </t>
    </r>
    <r>
      <rPr>
        <sz val="10"/>
        <color rgb="FF000000"/>
        <rFont val="Noto Sans CJK SC"/>
        <family val="2"/>
      </rPr>
      <t xml:space="preserve">등록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좌표 기준 확정</t>
    </r>
    <r>
      <rPr>
        <sz val="10"/>
        <color rgb="FF000000"/>
        <rFont val="Arial"/>
        <family val="0"/>
        <charset val="1"/>
      </rPr>
      <t xml:space="preserve">, API </t>
    </r>
    <r>
      <rPr>
        <sz val="10"/>
        <color rgb="FF000000"/>
        <rFont val="Noto Sans CJK SC"/>
        <family val="2"/>
      </rPr>
      <t xml:space="preserve">호출 확인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무접촉 외력 잡음 측정</t>
    </r>
  </si>
  <si>
    <t xml:space="preserve">D2</t>
  </si>
  <si>
    <t xml:space="preserve">필요 시 학민</t>
  </si>
  <si>
    <r>
      <rPr>
        <sz val="10"/>
        <color rgb="FF000000"/>
        <rFont val="Noto Sans CJK SC"/>
        <family val="2"/>
      </rPr>
      <t xml:space="preserve">기본은 </t>
    </r>
    <r>
      <rPr>
        <sz val="10"/>
        <color rgb="FF000000"/>
        <rFont val="Arial"/>
        <family val="0"/>
        <charset val="1"/>
      </rPr>
      <t xml:space="preserve">Virtual Mode </t>
    </r>
    <r>
      <rPr>
        <sz val="10"/>
        <color rgb="FF000000"/>
        <rFont val="Noto Sans CJK SC"/>
        <family val="2"/>
      </rPr>
      <t xml:space="preserve">개발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실기는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확인 잔여분만</t>
    </r>
  </si>
  <si>
    <t xml:space="preserve">D3</t>
  </si>
  <si>
    <r>
      <rPr>
        <sz val="10"/>
        <color rgb="FF000000"/>
        <rFont val="Arial"/>
        <family val="0"/>
        <charset val="1"/>
      </rPr>
      <t xml:space="preserve">TR-01 </t>
    </r>
    <r>
      <rPr>
        <sz val="10"/>
        <color rgb="FF000000"/>
        <rFont val="Noto Sans CJK SC"/>
        <family val="2"/>
      </rPr>
      <t xml:space="preserve">접촉 기초 시험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모서리 검출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한 명은 티치펜던트 비상정지 앞 대기</t>
    </r>
  </si>
  <si>
    <t xml:space="preserve">D4</t>
  </si>
  <si>
    <r>
      <rPr>
        <sz val="10"/>
        <color rgb="FF000000"/>
        <rFont val="Noto Sans CJK SC"/>
        <family val="2"/>
      </rPr>
      <t xml:space="preserve">오전 학민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현지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오후 병후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학민</t>
    </r>
  </si>
  <si>
    <r>
      <rPr>
        <sz val="10"/>
        <color rgb="FF000000"/>
        <rFont val="Noto Sans CJK SC"/>
        <family val="2"/>
      </rPr>
      <t xml:space="preserve">오전</t>
    </r>
    <r>
      <rPr>
        <sz val="10"/>
        <color rgb="FF000000"/>
        <rFont val="Arial"/>
        <family val="0"/>
        <charset val="1"/>
      </rPr>
      <t xml:space="preserve">: 5</t>
    </r>
    <r>
      <rPr>
        <sz val="10"/>
        <color rgb="FF000000"/>
        <rFont val="Noto Sans CJK SC"/>
        <family val="2"/>
      </rPr>
      <t xml:space="preserve">점 전체 탐색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편향 보정</t>
    </r>
    <r>
      <rPr>
        <sz val="10"/>
        <color rgb="FF000000"/>
        <rFont val="Arial"/>
        <family val="0"/>
        <charset val="1"/>
      </rPr>
      <t xml:space="preserve">, TR-02. </t>
    </r>
    <r>
      <rPr>
        <sz val="10"/>
        <color rgb="FF000000"/>
        <rFont val="Noto Sans CJK SC"/>
        <family val="2"/>
      </rPr>
      <t xml:space="preserve">오후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중지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안전복귀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재시작 검증</t>
    </r>
    <r>
      <rPr>
        <sz val="10"/>
        <color rgb="FF000000"/>
        <rFont val="Arial"/>
        <family val="0"/>
        <charset val="1"/>
      </rPr>
      <t xml:space="preserve">(TR-08)</t>
    </r>
  </si>
  <si>
    <t xml:space="preserve">D5</t>
  </si>
  <si>
    <r>
      <rPr>
        <sz val="10"/>
        <color rgb="FF000000"/>
        <rFont val="Arial"/>
        <family val="0"/>
        <charset val="1"/>
      </rPr>
      <t xml:space="preserve">TR </t>
    </r>
    <r>
      <rPr>
        <sz val="10"/>
        <color rgb="FF000000"/>
        <rFont val="Noto Sans CJK SC"/>
        <family val="2"/>
      </rPr>
      <t xml:space="preserve">시험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시연 리허설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백업 영상 녹화</t>
    </r>
  </si>
  <si>
    <t xml:space="preserve">일정이 밀릴 때 줄이는 순서</t>
  </si>
  <si>
    <t xml:space="preserve">순서</t>
  </si>
  <si>
    <t xml:space="preserve">항목</t>
  </si>
  <si>
    <t xml:space="preserve">근거</t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</si>
  <si>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단 속도</t>
    </r>
  </si>
  <si>
    <t xml:space="preserve">4.2.7, Could</t>
  </si>
  <si>
    <t xml:space="preserve">로그 다운로드</t>
  </si>
  <si>
    <t xml:space="preserve">4.4.6, Could</t>
  </si>
  <si>
    <r>
      <rPr>
        <sz val="10"/>
        <color rgb="FF000000"/>
        <rFont val="Arial"/>
        <family val="0"/>
        <charset val="1"/>
      </rPr>
      <t xml:space="preserve">TR-03 </t>
    </r>
    <r>
      <rPr>
        <sz val="10"/>
        <color rgb="FF000000"/>
        <rFont val="Noto Sans CJK SC"/>
        <family val="2"/>
      </rPr>
      <t xml:space="preserve">배치 민감도 시험</t>
    </r>
  </si>
  <si>
    <t xml:space="preserve">수락 기준에 직접 포함되지 않음</t>
  </si>
  <si>
    <t xml:space="preserve">4</t>
  </si>
  <si>
    <t xml:space="preserve">엣지 좌표 표</t>
  </si>
  <si>
    <t xml:space="preserve">4.4.5, Should</t>
  </si>
  <si>
    <t xml:space="preserve">5</t>
  </si>
  <si>
    <r>
      <rPr>
        <sz val="10"/>
        <color rgb="FF000000"/>
        <rFont val="Arial"/>
        <family val="0"/>
        <charset val="1"/>
      </rPr>
      <t xml:space="preserve">Spring Boot </t>
    </r>
    <r>
      <rPr>
        <sz val="10"/>
        <color rgb="FF000000"/>
        <rFont val="Noto Sans CJK SC"/>
        <family val="2"/>
      </rPr>
      <t xml:space="preserve">사용자 관리</t>
    </r>
  </si>
  <si>
    <r>
      <rPr>
        <sz val="10"/>
        <color rgb="FF000000"/>
        <rFont val="Noto Sans CJK SC"/>
        <family val="2"/>
      </rPr>
      <t xml:space="preserve">이력 조회와 작업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공작물 관리는 유지</t>
    </r>
  </si>
  <si>
    <t xml:space="preserve">6</t>
  </si>
  <si>
    <r>
      <rPr>
        <sz val="10"/>
        <color rgb="FF000000"/>
        <rFont val="Noto Sans CJK SC"/>
        <family val="2"/>
      </rPr>
      <t xml:space="preserve">반복성 시험을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회에서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회로 축소</t>
    </r>
  </si>
  <si>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장 </t>
    </r>
    <r>
      <rPr>
        <sz val="10"/>
        <color rgb="FF000000"/>
        <rFont val="Arial"/>
        <family val="0"/>
        <charset val="1"/>
      </rPr>
      <t xml:space="preserve">KPI, </t>
    </r>
    <r>
      <rPr>
        <sz val="10"/>
        <color rgb="FF000000"/>
        <rFont val="Noto Sans CJK SC"/>
        <family val="2"/>
      </rPr>
      <t xml:space="preserve">측정 횟수만 축소</t>
    </r>
  </si>
  <si>
    <r>
      <rPr>
        <b val="true"/>
        <sz val="10"/>
        <color rgb="FFC00000"/>
        <rFont val="Noto Sans CJK SC"/>
        <family val="2"/>
      </rPr>
      <t xml:space="preserve">줄이지 않는 것</t>
    </r>
    <r>
      <rPr>
        <b val="true"/>
        <sz val="10"/>
        <color rgb="FFC00000"/>
        <rFont val="Arial"/>
        <family val="0"/>
        <charset val="1"/>
      </rPr>
      <t xml:space="preserve">: Must </t>
    </r>
    <r>
      <rPr>
        <b val="true"/>
        <sz val="10"/>
        <color rgb="FFC00000"/>
        <rFont val="Noto Sans CJK SC"/>
        <family val="2"/>
      </rPr>
      <t xml:space="preserve">항목 전체</t>
    </r>
    <r>
      <rPr>
        <b val="true"/>
        <sz val="10"/>
        <color rgb="FFC00000"/>
        <rFont val="Arial"/>
        <family val="0"/>
        <charset val="1"/>
      </rPr>
      <t xml:space="preserve">, ±3 mm </t>
    </r>
    <r>
      <rPr>
        <b val="true"/>
        <sz val="10"/>
        <color rgb="FFC00000"/>
        <rFont val="Noto Sans CJK SC"/>
        <family val="2"/>
      </rPr>
      <t xml:space="preserve">기준</t>
    </r>
    <r>
      <rPr>
        <b val="true"/>
        <sz val="10"/>
        <color rgb="FFC00000"/>
        <rFont val="Arial"/>
        <family val="0"/>
        <charset val="1"/>
      </rPr>
      <t xml:space="preserve">, </t>
    </r>
    <r>
      <rPr>
        <b val="true"/>
        <sz val="10"/>
        <color rgb="FFC00000"/>
        <rFont val="Noto Sans CJK SC"/>
        <family val="2"/>
      </rPr>
      <t xml:space="preserve">작업 중지</t>
    </r>
    <r>
      <rPr>
        <b val="true"/>
        <sz val="10"/>
        <color rgb="FFC00000"/>
        <rFont val="Arial"/>
        <family val="0"/>
        <charset val="1"/>
      </rPr>
      <t xml:space="preserve">·</t>
    </r>
    <r>
      <rPr>
        <b val="true"/>
        <sz val="10"/>
        <color rgb="FFC00000"/>
        <rFont val="Noto Sans CJK SC"/>
        <family val="2"/>
      </rPr>
      <t xml:space="preserve">안전복귀</t>
    </r>
    <r>
      <rPr>
        <b val="true"/>
        <sz val="10"/>
        <color rgb="FFC00000"/>
        <rFont val="Arial"/>
        <family val="0"/>
        <charset val="1"/>
      </rPr>
      <t xml:space="preserve">·</t>
    </r>
    <r>
      <rPr>
        <b val="true"/>
        <sz val="10"/>
        <color rgb="FFC00000"/>
        <rFont val="Noto Sans CJK SC"/>
        <family val="2"/>
      </rPr>
      <t xml:space="preserve">재시작의 분리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</si>
</sst>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Noto Sans CJK SC"/>
      <family val="2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Noto Sans CJK SC"/>
      <family val="2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Noto Sans CJK SC"/>
      <family val="2"/>
    </font>
    <font>
      <b val="true"/>
      <sz val="10"/>
      <color rgb="FF000000"/>
      <name val="Arial"/>
      <family val="0"/>
      <charset val="1"/>
    </font>
    <font>
      <sz val="10"/>
      <color rgb="FF000000"/>
      <name val="Noto Sans CJK SC"/>
      <family val="2"/>
    </font>
    <font>
      <sz val="10"/>
      <color rgb="FF000000"/>
      <name val="Arial"/>
      <family val="0"/>
      <charset val="1"/>
    </font>
    <font>
      <b val="true"/>
      <sz val="11"/>
      <color rgb="FF1F3864"/>
      <name val="Noto Sans CJK SC"/>
      <family val="2"/>
    </font>
    <font>
      <b val="true"/>
      <sz val="11"/>
      <color rgb="FF1F3864"/>
      <name val="Arial"/>
      <family val="0"/>
      <charset val="1"/>
    </font>
    <font>
      <b val="true"/>
      <sz val="9"/>
      <color rgb="FF000000"/>
      <name val="Noto Sans CJK SC"/>
      <family val="2"/>
    </font>
    <font>
      <b val="true"/>
      <sz val="9"/>
      <color rgb="FF000000"/>
      <name val="Arial"/>
      <family val="0"/>
      <charset val="1"/>
    </font>
    <font>
      <sz val="9"/>
      <color rgb="FF000000"/>
      <name val="Noto Sans CJK SC"/>
      <family val="2"/>
    </font>
    <font>
      <b val="true"/>
      <sz val="10"/>
      <color rgb="FFC00000"/>
      <name val="Noto Sans CJK SC"/>
      <family val="2"/>
    </font>
    <font>
      <b val="true"/>
      <sz val="10"/>
      <color rgb="FFC0000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BDD7EE"/>
        <bgColor rgb="FFD9D9D9"/>
      </patternFill>
    </fill>
    <fill>
      <patternFill patternType="solid">
        <fgColor rgb="FFC6E0B4"/>
        <bgColor rgb="FFC6EFCE"/>
      </patternFill>
    </fill>
    <fill>
      <patternFill patternType="solid">
        <fgColor rgb="FFF8CBAD"/>
        <bgColor rgb="FFFFC7CE"/>
      </patternFill>
    </fill>
    <fill>
      <patternFill patternType="solid">
        <fgColor rgb="FFD9C3E8"/>
        <bgColor rgb="FFD9D9D9"/>
      </patternFill>
    </fill>
    <fill>
      <patternFill patternType="solid">
        <fgColor rgb="FFF2F2F2"/>
        <bgColor rgb="FFFDE9E7"/>
      </patternFill>
    </fill>
    <fill>
      <patternFill patternType="solid">
        <fgColor rgb="FFFFF9E5"/>
        <bgColor rgb="FFFFFFFF"/>
      </patternFill>
    </fill>
    <fill>
      <patternFill patternType="solid">
        <fgColor rgb="FFD9D9D9"/>
        <bgColor rgb="FFBDD7EE"/>
      </patternFill>
    </fill>
    <fill>
      <patternFill patternType="solid">
        <fgColor rgb="FFFFF2CC"/>
        <bgColor rgb="FFFFF9E5"/>
      </patternFill>
    </fill>
    <fill>
      <patternFill patternType="solid">
        <fgColor rgb="FFFDE9E7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11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D9C3E8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2CC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E5"/>
      <rgbColor rgb="FFF2F2F2"/>
      <rgbColor rgb="FF660066"/>
      <rgbColor rgb="FFFF8080"/>
      <rgbColor rgb="FF0066CC"/>
      <rgbColor rgb="FFD9C3E8"/>
      <rgbColor rgb="FF000080"/>
      <rgbColor rgb="FFFF00FF"/>
      <rgbColor rgb="FFFDE9E7"/>
      <rgbColor rgb="FF00FFFF"/>
      <rgbColor rgb="FF800080"/>
      <rgbColor rgb="FF800000"/>
      <rgbColor rgb="FF008080"/>
      <rgbColor rgb="FF0000FF"/>
      <rgbColor rgb="FF00CCFF"/>
      <rgbColor rgb="FFD9D9D9"/>
      <rgbColor rgb="FFC6EFCE"/>
      <rgbColor rgb="FFFFEB9C"/>
      <rgbColor rgb="FFBDD7EE"/>
      <rgbColor rgb="FFFFC7CE"/>
      <rgbColor rgb="FFC6E0B4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62"/>
    <col collapsed="false" customWidth="true" hidden="false" outlineLevel="0" max="4" min="4" style="0" width="18"/>
  </cols>
  <sheetData>
    <row r="1" customFormat="false" ht="24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93" hidden="false" customHeight="true" outlineLevel="0" collapsed="false">
      <c r="A5" s="4" t="s">
        <v>6</v>
      </c>
      <c r="B5" s="5" t="s">
        <v>7</v>
      </c>
      <c r="C5" s="6" t="s">
        <v>8</v>
      </c>
      <c r="D5" s="6" t="s">
        <v>9</v>
      </c>
    </row>
    <row r="6" customFormat="false" ht="93" hidden="false" customHeight="true" outlineLevel="0" collapsed="false">
      <c r="A6" s="7" t="s">
        <v>10</v>
      </c>
      <c r="B6" s="5" t="s">
        <v>11</v>
      </c>
      <c r="C6" s="6" t="s">
        <v>12</v>
      </c>
      <c r="D6" s="6" t="s">
        <v>13</v>
      </c>
    </row>
    <row r="7" customFormat="false" ht="63.75" hidden="false" customHeight="true" outlineLevel="0" collapsed="false">
      <c r="A7" s="8" t="s">
        <v>14</v>
      </c>
      <c r="B7" s="5" t="s">
        <v>15</v>
      </c>
      <c r="C7" s="6" t="s">
        <v>16</v>
      </c>
      <c r="D7" s="6" t="s">
        <v>17</v>
      </c>
    </row>
    <row r="8" customFormat="false" ht="78" hidden="false" customHeight="true" outlineLevel="0" collapsed="false">
      <c r="A8" s="9" t="s">
        <v>18</v>
      </c>
      <c r="B8" s="5" t="s">
        <v>19</v>
      </c>
      <c r="C8" s="6" t="s">
        <v>20</v>
      </c>
      <c r="D8" s="6" t="s">
        <v>21</v>
      </c>
    </row>
    <row r="10" customFormat="false" ht="19.5" hidden="false" customHeight="true" outlineLevel="0" collapsed="false">
      <c r="A10" s="10" t="s">
        <v>22</v>
      </c>
    </row>
    <row r="11" customFormat="false" ht="18" hidden="false" customHeight="true" outlineLevel="0" collapsed="false">
      <c r="A11" s="11" t="s">
        <v>23</v>
      </c>
      <c r="B11" s="11"/>
      <c r="C11" s="11"/>
      <c r="D11" s="11"/>
    </row>
    <row r="12" customFormat="false" ht="18" hidden="false" customHeight="true" outlineLevel="0" collapsed="false">
      <c r="A12" s="12" t="s">
        <v>24</v>
      </c>
      <c r="B12" s="12"/>
      <c r="C12" s="12"/>
      <c r="D12" s="12"/>
    </row>
    <row r="13" customFormat="false" ht="18" hidden="false" customHeight="true" outlineLevel="0" collapsed="false">
      <c r="A13" s="12" t="s">
        <v>25</v>
      </c>
      <c r="B13" s="12"/>
      <c r="C13" s="12"/>
      <c r="D13" s="12"/>
    </row>
    <row r="15" customFormat="false" ht="19.5" hidden="false" customHeight="true" outlineLevel="0" collapsed="false">
      <c r="A15" s="10" t="s">
        <v>26</v>
      </c>
    </row>
    <row r="16" customFormat="false" ht="31.5" hidden="false" customHeight="true" outlineLevel="0" collapsed="false">
      <c r="A16" s="3" t="s">
        <v>2</v>
      </c>
      <c r="B16" s="3" t="s">
        <v>27</v>
      </c>
      <c r="C16" s="3" t="s">
        <v>28</v>
      </c>
      <c r="D16" s="3" t="s">
        <v>29</v>
      </c>
    </row>
    <row r="17" customFormat="false" ht="15" hidden="false" customHeight="false" outlineLevel="0" collapsed="false">
      <c r="A17" s="13" t="s">
        <v>30</v>
      </c>
      <c r="B17" s="14" t="n">
        <f aca="false">COUNTIF('작업 목록'!$C$6:$C$60,"*학민*")+COUNTIF('작업 목록'!$C$6:$C$60,"전원")</f>
        <v>16</v>
      </c>
      <c r="C17" s="14" t="n">
        <f aca="false">COUNTIFS('작업 목록'!$C$6:$C$60,"*학민*",'작업 목록'!$K$6:$K$60,"완료")+COUNTIFS('작업 목록'!$C$6:$C$60,"전원",'작업 목록'!$K$6:$K$60,"완료")</f>
        <v>0</v>
      </c>
      <c r="D17" s="15" t="n">
        <f aca="false">IFERROR(C17/B17,0)</f>
        <v>0</v>
      </c>
    </row>
    <row r="18" customFormat="false" ht="15" hidden="false" customHeight="false" outlineLevel="0" collapsed="false">
      <c r="A18" s="16" t="s">
        <v>31</v>
      </c>
      <c r="B18" s="14" t="n">
        <f aca="false">COUNTIF('작업 목록'!$C$6:$C$60,"*현지*")+COUNTIF('작업 목록'!$C$6:$C$60,"전원")</f>
        <v>17</v>
      </c>
      <c r="C18" s="14" t="n">
        <f aca="false">COUNTIFS('작업 목록'!$C$6:$C$60,"*현지*",'작업 목록'!$K$6:$K$60,"완료")+COUNTIFS('작업 목록'!$C$6:$C$60,"전원",'작업 목록'!$K$6:$K$60,"완료")</f>
        <v>0</v>
      </c>
      <c r="D18" s="15" t="n">
        <f aca="false">IFERROR(C18/B18,0)</f>
        <v>0</v>
      </c>
    </row>
    <row r="19" customFormat="false" ht="15" hidden="false" customHeight="false" outlineLevel="0" collapsed="false">
      <c r="A19" s="17" t="s">
        <v>32</v>
      </c>
      <c r="B19" s="14" t="n">
        <f aca="false">COUNTIF('작업 목록'!$C$6:$C$60,"*병후*")+COUNTIF('작업 목록'!$C$6:$C$60,"전원")</f>
        <v>12</v>
      </c>
      <c r="C19" s="14" t="n">
        <f aca="false">COUNTIFS('작업 목록'!$C$6:$C$60,"*병후*",'작업 목록'!$K$6:$K$60,"완료")+COUNTIFS('작업 목록'!$C$6:$C$60,"전원",'작업 목록'!$K$6:$K$60,"완료")</f>
        <v>0</v>
      </c>
      <c r="D19" s="15" t="n">
        <f aca="false">IFERROR(C19/B19,0)</f>
        <v>0</v>
      </c>
    </row>
    <row r="20" customFormat="false" ht="15" hidden="false" customHeight="false" outlineLevel="0" collapsed="false">
      <c r="A20" s="18" t="s">
        <v>33</v>
      </c>
      <c r="B20" s="14" t="n">
        <f aca="false">COUNTIF('작업 목록'!$C$6:$C$60,"*의석*")+COUNTIF('작업 목록'!$C$6:$C$60,"전원")</f>
        <v>13</v>
      </c>
      <c r="C20" s="14" t="n">
        <f aca="false">COUNTIFS('작업 목록'!$C$6:$C$60,"*의석*",'작업 목록'!$K$6:$K$60,"완료")+COUNTIFS('작업 목록'!$C$6:$C$60,"전원",'작업 목록'!$K$6:$K$60,"완료")</f>
        <v>0</v>
      </c>
      <c r="D20" s="15" t="n">
        <f aca="false">IFERROR(C20/B20,0)</f>
        <v>0</v>
      </c>
    </row>
    <row r="21" customFormat="false" ht="15" hidden="false" customHeight="false" outlineLevel="0" collapsed="false">
      <c r="A21" s="19" t="s">
        <v>34</v>
      </c>
      <c r="B21" s="19" t="n">
        <f aca="false">COUNTIF('작업 목록'!$A$6:$A$60,"T*")</f>
        <v>42</v>
      </c>
      <c r="C21" s="19" t="n">
        <f aca="false">COUNTIF('작업 목록'!$K$6:$K$60,"완료")</f>
        <v>0</v>
      </c>
      <c r="D21" s="20" t="n">
        <f aca="false">IFERROR(C21/B21,0)</f>
        <v>0</v>
      </c>
    </row>
    <row r="22" customFormat="false" ht="15" hidden="false" customHeight="false" outlineLevel="0" collapsed="false">
      <c r="A22" s="2" t="s">
        <v>35</v>
      </c>
    </row>
  </sheetData>
  <mergeCells count="3">
    <mergeCell ref="A11:D11"/>
    <mergeCell ref="A12:D12"/>
    <mergeCell ref="A13:D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6" min="3" style="0" width="40"/>
    <col collapsed="false" customWidth="true" hidden="false" outlineLevel="0" max="7" min="7" style="0" width="34"/>
  </cols>
  <sheetData>
    <row r="1" customFormat="false" ht="24" hidden="false" customHeight="true" outlineLevel="0" collapsed="false">
      <c r="A1" s="1" t="s">
        <v>36</v>
      </c>
    </row>
    <row r="2" customFormat="false" ht="15" hidden="false" customHeight="false" outlineLevel="0" collapsed="false">
      <c r="A2" s="2" t="s">
        <v>37</v>
      </c>
    </row>
    <row r="4" customFormat="false" ht="31.5" hidden="false" customHeight="true" outlineLevel="0" collapsed="false">
      <c r="A4" s="3" t="s">
        <v>38</v>
      </c>
      <c r="B4" s="3" t="s">
        <v>39</v>
      </c>
      <c r="C4" s="4" t="s">
        <v>30</v>
      </c>
      <c r="D4" s="7" t="s">
        <v>31</v>
      </c>
      <c r="E4" s="8" t="s">
        <v>32</v>
      </c>
      <c r="F4" s="9" t="s">
        <v>33</v>
      </c>
      <c r="G4" s="3" t="s">
        <v>40</v>
      </c>
    </row>
    <row r="5" customFormat="false" ht="136.5" hidden="false" customHeight="true" outlineLevel="0" collapsed="false">
      <c r="A5" s="21" t="s">
        <v>41</v>
      </c>
      <c r="B5" s="22" t="s">
        <v>42</v>
      </c>
      <c r="C5" s="6" t="s">
        <v>43</v>
      </c>
      <c r="D5" s="6" t="s">
        <v>44</v>
      </c>
      <c r="E5" s="6" t="s">
        <v>45</v>
      </c>
      <c r="F5" s="6" t="s">
        <v>46</v>
      </c>
      <c r="G5" s="23" t="s">
        <v>47</v>
      </c>
    </row>
    <row r="6" customFormat="false" ht="107.25" hidden="false" customHeight="true" outlineLevel="0" collapsed="false">
      <c r="A6" s="21" t="s">
        <v>48</v>
      </c>
      <c r="B6" s="24" t="s">
        <v>49</v>
      </c>
      <c r="C6" s="6" t="s">
        <v>50</v>
      </c>
      <c r="D6" s="6" t="s">
        <v>51</v>
      </c>
      <c r="E6" s="6" t="s">
        <v>52</v>
      </c>
      <c r="F6" s="6" t="s">
        <v>53</v>
      </c>
      <c r="G6" s="23" t="s">
        <v>54</v>
      </c>
    </row>
    <row r="7" customFormat="false" ht="93" hidden="false" customHeight="true" outlineLevel="0" collapsed="false">
      <c r="A7" s="21" t="s">
        <v>55</v>
      </c>
      <c r="B7" s="22" t="s">
        <v>56</v>
      </c>
      <c r="C7" s="6" t="s">
        <v>57</v>
      </c>
      <c r="D7" s="6" t="s">
        <v>58</v>
      </c>
      <c r="E7" s="5" t="s">
        <v>59</v>
      </c>
      <c r="F7" s="6" t="s">
        <v>60</v>
      </c>
      <c r="G7" s="23" t="s">
        <v>61</v>
      </c>
    </row>
    <row r="8" customFormat="false" ht="107.25" hidden="false" customHeight="true" outlineLevel="0" collapsed="false">
      <c r="A8" s="21" t="s">
        <v>62</v>
      </c>
      <c r="B8" s="22" t="s">
        <v>63</v>
      </c>
      <c r="C8" s="6" t="s">
        <v>64</v>
      </c>
      <c r="D8" s="6" t="s">
        <v>65</v>
      </c>
      <c r="E8" s="6" t="s">
        <v>66</v>
      </c>
      <c r="F8" s="6" t="s">
        <v>67</v>
      </c>
      <c r="G8" s="23" t="s">
        <v>68</v>
      </c>
    </row>
    <row r="9" customFormat="false" ht="93" hidden="false" customHeight="true" outlineLevel="0" collapsed="false">
      <c r="A9" s="21" t="s">
        <v>69</v>
      </c>
      <c r="B9" s="22" t="s">
        <v>70</v>
      </c>
      <c r="C9" s="6" t="s">
        <v>71</v>
      </c>
      <c r="D9" s="6" t="s">
        <v>72</v>
      </c>
      <c r="E9" s="6" t="s">
        <v>73</v>
      </c>
      <c r="F9" s="6" t="s">
        <v>74</v>
      </c>
      <c r="G9" s="23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8"/>
    <col collapsed="false" customWidth="true" hidden="false" outlineLevel="0" max="3" min="3" style="0" width="13"/>
    <col collapsed="false" customWidth="true" hidden="false" outlineLevel="0" max="4" min="4" style="0" width="24"/>
    <col collapsed="false" customWidth="true" hidden="false" outlineLevel="0" max="9" min="5" style="0" width="9"/>
    <col collapsed="false" customWidth="true" hidden="false" outlineLevel="0" max="10" min="10" style="0" width="3"/>
    <col collapsed="false" customWidth="true" hidden="false" outlineLevel="0" max="11" min="11" style="0" width="10"/>
    <col collapsed="false" customWidth="true" hidden="false" outlineLevel="0" max="12" min="12" style="0" width="30"/>
  </cols>
  <sheetData>
    <row r="1" customFormat="false" ht="24" hidden="false" customHeight="true" outlineLevel="0" collapsed="false">
      <c r="A1" s="1" t="s">
        <v>76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77</v>
      </c>
    </row>
    <row r="5" customFormat="false" ht="31.5" hidden="false" customHeight="true" outlineLevel="0" collapsed="false">
      <c r="A5" s="25" t="s">
        <v>78</v>
      </c>
      <c r="B5" s="3" t="s">
        <v>79</v>
      </c>
      <c r="C5" s="3" t="s">
        <v>2</v>
      </c>
      <c r="D5" s="25" t="s">
        <v>80</v>
      </c>
      <c r="E5" s="25" t="s">
        <v>81</v>
      </c>
      <c r="F5" s="25" t="s">
        <v>82</v>
      </c>
      <c r="G5" s="25" t="s">
        <v>83</v>
      </c>
      <c r="H5" s="25" t="s">
        <v>84</v>
      </c>
      <c r="I5" s="25" t="s">
        <v>85</v>
      </c>
      <c r="J5" s="3"/>
      <c r="K5" s="3" t="s">
        <v>86</v>
      </c>
      <c r="L5" s="3" t="s">
        <v>87</v>
      </c>
    </row>
    <row r="6" customFormat="false" ht="34.5" hidden="false" customHeight="true" outlineLevel="0" collapsed="false">
      <c r="A6" s="26" t="s">
        <v>88</v>
      </c>
      <c r="B6" s="5" t="s">
        <v>89</v>
      </c>
      <c r="C6" s="27" t="s">
        <v>90</v>
      </c>
      <c r="D6" s="6" t="s">
        <v>91</v>
      </c>
      <c r="E6" s="28" t="s">
        <v>92</v>
      </c>
      <c r="F6" s="29"/>
      <c r="G6" s="29"/>
      <c r="H6" s="29"/>
      <c r="I6" s="29"/>
      <c r="K6" s="30" t="s">
        <v>93</v>
      </c>
      <c r="L6" s="31"/>
    </row>
    <row r="7" customFormat="false" ht="20.25" hidden="false" customHeight="true" outlineLevel="0" collapsed="false">
      <c r="A7" s="26" t="s">
        <v>94</v>
      </c>
      <c r="B7" s="6" t="s">
        <v>95</v>
      </c>
      <c r="C7" s="32" t="s">
        <v>30</v>
      </c>
      <c r="D7" s="6" t="s">
        <v>96</v>
      </c>
      <c r="E7" s="33" t="s">
        <v>92</v>
      </c>
      <c r="F7" s="29"/>
      <c r="G7" s="29"/>
      <c r="H7" s="29"/>
      <c r="I7" s="29"/>
      <c r="K7" s="30" t="s">
        <v>93</v>
      </c>
      <c r="L7" s="31"/>
    </row>
    <row r="8" customFormat="false" ht="20.25" hidden="false" customHeight="true" outlineLevel="0" collapsed="false">
      <c r="A8" s="26" t="s">
        <v>97</v>
      </c>
      <c r="B8" s="5" t="s">
        <v>98</v>
      </c>
      <c r="C8" s="32" t="s">
        <v>30</v>
      </c>
      <c r="D8" s="6" t="s">
        <v>99</v>
      </c>
      <c r="E8" s="33" t="s">
        <v>92</v>
      </c>
      <c r="F8" s="29"/>
      <c r="G8" s="29"/>
      <c r="H8" s="29"/>
      <c r="I8" s="29"/>
      <c r="K8" s="30" t="s">
        <v>93</v>
      </c>
      <c r="L8" s="31"/>
    </row>
    <row r="9" customFormat="false" ht="34.5" hidden="false" customHeight="true" outlineLevel="0" collapsed="false">
      <c r="A9" s="26" t="s">
        <v>100</v>
      </c>
      <c r="B9" s="6" t="s">
        <v>101</v>
      </c>
      <c r="C9" s="32" t="s">
        <v>30</v>
      </c>
      <c r="D9" s="6" t="s">
        <v>102</v>
      </c>
      <c r="E9" s="33" t="s">
        <v>92</v>
      </c>
      <c r="F9" s="29"/>
      <c r="G9" s="29"/>
      <c r="H9" s="29"/>
      <c r="I9" s="29"/>
      <c r="K9" s="30" t="s">
        <v>93</v>
      </c>
      <c r="L9" s="31"/>
    </row>
    <row r="10" customFormat="false" ht="20.25" hidden="false" customHeight="true" outlineLevel="0" collapsed="false">
      <c r="A10" s="26" t="s">
        <v>103</v>
      </c>
      <c r="B10" s="5" t="s">
        <v>104</v>
      </c>
      <c r="C10" s="34" t="s">
        <v>31</v>
      </c>
      <c r="D10" s="6" t="s">
        <v>105</v>
      </c>
      <c r="E10" s="35" t="s">
        <v>92</v>
      </c>
      <c r="F10" s="29"/>
      <c r="G10" s="29"/>
      <c r="H10" s="29"/>
      <c r="I10" s="29"/>
      <c r="K10" s="30" t="s">
        <v>93</v>
      </c>
      <c r="L10" s="31"/>
    </row>
    <row r="11" customFormat="false" ht="20.25" hidden="false" customHeight="true" outlineLevel="0" collapsed="false">
      <c r="A11" s="26" t="s">
        <v>106</v>
      </c>
      <c r="B11" s="5" t="s">
        <v>107</v>
      </c>
      <c r="C11" s="34" t="s">
        <v>31</v>
      </c>
      <c r="D11" s="6" t="s">
        <v>105</v>
      </c>
      <c r="E11" s="35" t="s">
        <v>92</v>
      </c>
      <c r="F11" s="35" t="s">
        <v>92</v>
      </c>
      <c r="G11" s="35" t="s">
        <v>92</v>
      </c>
      <c r="H11" s="35" t="s">
        <v>92</v>
      </c>
      <c r="I11" s="35" t="s">
        <v>92</v>
      </c>
      <c r="K11" s="30" t="s">
        <v>93</v>
      </c>
      <c r="L11" s="31"/>
    </row>
    <row r="12" customFormat="false" ht="20.25" hidden="false" customHeight="true" outlineLevel="0" collapsed="false">
      <c r="A12" s="26" t="s">
        <v>108</v>
      </c>
      <c r="B12" s="6" t="s">
        <v>109</v>
      </c>
      <c r="C12" s="34" t="s">
        <v>31</v>
      </c>
      <c r="D12" s="6" t="s">
        <v>110</v>
      </c>
      <c r="E12" s="35" t="s">
        <v>92</v>
      </c>
      <c r="F12" s="29"/>
      <c r="G12" s="29"/>
      <c r="H12" s="29"/>
      <c r="I12" s="29"/>
      <c r="K12" s="30" t="s">
        <v>93</v>
      </c>
      <c r="L12" s="31"/>
    </row>
    <row r="13" customFormat="false" ht="20.25" hidden="false" customHeight="true" outlineLevel="0" collapsed="false">
      <c r="A13" s="26" t="s">
        <v>111</v>
      </c>
      <c r="B13" s="5" t="s">
        <v>112</v>
      </c>
      <c r="C13" s="34" t="s">
        <v>113</v>
      </c>
      <c r="D13" s="6" t="s">
        <v>114</v>
      </c>
      <c r="E13" s="35" t="s">
        <v>92</v>
      </c>
      <c r="F13" s="29"/>
      <c r="G13" s="29"/>
      <c r="H13" s="29"/>
      <c r="I13" s="29"/>
      <c r="K13" s="30" t="s">
        <v>93</v>
      </c>
      <c r="L13" s="31"/>
    </row>
    <row r="14" customFormat="false" ht="20.25" hidden="false" customHeight="true" outlineLevel="0" collapsed="false">
      <c r="A14" s="26" t="s">
        <v>115</v>
      </c>
      <c r="B14" s="6" t="s">
        <v>116</v>
      </c>
      <c r="C14" s="36" t="s">
        <v>32</v>
      </c>
      <c r="D14" s="6" t="s">
        <v>91</v>
      </c>
      <c r="E14" s="37" t="s">
        <v>92</v>
      </c>
      <c r="F14" s="29"/>
      <c r="G14" s="29"/>
      <c r="H14" s="29"/>
      <c r="I14" s="29"/>
      <c r="K14" s="30" t="s">
        <v>93</v>
      </c>
      <c r="L14" s="31"/>
    </row>
    <row r="15" customFormat="false" ht="20.25" hidden="false" customHeight="true" outlineLevel="0" collapsed="false">
      <c r="A15" s="26" t="s">
        <v>117</v>
      </c>
      <c r="B15" s="6" t="s">
        <v>118</v>
      </c>
      <c r="C15" s="36" t="s">
        <v>32</v>
      </c>
      <c r="D15" s="6" t="s">
        <v>119</v>
      </c>
      <c r="E15" s="37" t="s">
        <v>92</v>
      </c>
      <c r="F15" s="29"/>
      <c r="G15" s="29"/>
      <c r="H15" s="29"/>
      <c r="I15" s="29"/>
      <c r="K15" s="30" t="s">
        <v>93</v>
      </c>
      <c r="L15" s="31"/>
    </row>
    <row r="16" customFormat="false" ht="34.5" hidden="false" customHeight="true" outlineLevel="0" collapsed="false">
      <c r="A16" s="26" t="s">
        <v>120</v>
      </c>
      <c r="B16" s="6" t="s">
        <v>121</v>
      </c>
      <c r="C16" s="38" t="s">
        <v>33</v>
      </c>
      <c r="D16" s="6" t="s">
        <v>91</v>
      </c>
      <c r="E16" s="39" t="s">
        <v>92</v>
      </c>
      <c r="F16" s="29"/>
      <c r="G16" s="29"/>
      <c r="H16" s="29"/>
      <c r="I16" s="29"/>
      <c r="K16" s="30" t="s">
        <v>93</v>
      </c>
      <c r="L16" s="31"/>
    </row>
    <row r="17" customFormat="false" ht="20.25" hidden="false" customHeight="true" outlineLevel="0" collapsed="false">
      <c r="A17" s="26" t="s">
        <v>122</v>
      </c>
      <c r="B17" s="6" t="s">
        <v>123</v>
      </c>
      <c r="C17" s="38" t="s">
        <v>33</v>
      </c>
      <c r="D17" s="6" t="s">
        <v>124</v>
      </c>
      <c r="E17" s="39" t="s">
        <v>92</v>
      </c>
      <c r="F17" s="29"/>
      <c r="G17" s="29"/>
      <c r="H17" s="29"/>
      <c r="I17" s="29"/>
      <c r="K17" s="30" t="s">
        <v>93</v>
      </c>
      <c r="L17" s="31"/>
    </row>
    <row r="18" customFormat="false" ht="34.5" hidden="false" customHeight="true" outlineLevel="0" collapsed="false">
      <c r="A18" s="26" t="s">
        <v>125</v>
      </c>
      <c r="B18" s="6" t="s">
        <v>126</v>
      </c>
      <c r="C18" s="32" t="s">
        <v>30</v>
      </c>
      <c r="D18" s="6" t="s">
        <v>127</v>
      </c>
      <c r="E18" s="29"/>
      <c r="F18" s="33" t="s">
        <v>92</v>
      </c>
      <c r="G18" s="29"/>
      <c r="H18" s="29"/>
      <c r="I18" s="29"/>
      <c r="K18" s="30" t="s">
        <v>93</v>
      </c>
      <c r="L18" s="31"/>
    </row>
    <row r="19" customFormat="false" ht="20.25" hidden="false" customHeight="true" outlineLevel="0" collapsed="false">
      <c r="A19" s="26" t="s">
        <v>128</v>
      </c>
      <c r="B19" s="6" t="s">
        <v>129</v>
      </c>
      <c r="C19" s="32" t="s">
        <v>30</v>
      </c>
      <c r="D19" s="6" t="s">
        <v>130</v>
      </c>
      <c r="E19" s="29"/>
      <c r="F19" s="33" t="s">
        <v>92</v>
      </c>
      <c r="G19" s="29"/>
      <c r="H19" s="29"/>
      <c r="I19" s="29"/>
      <c r="K19" s="30" t="s">
        <v>93</v>
      </c>
      <c r="L19" s="31"/>
    </row>
    <row r="20" customFormat="false" ht="20.25" hidden="false" customHeight="true" outlineLevel="0" collapsed="false">
      <c r="A20" s="26" t="s">
        <v>131</v>
      </c>
      <c r="B20" s="6" t="s">
        <v>132</v>
      </c>
      <c r="C20" s="32" t="s">
        <v>30</v>
      </c>
      <c r="D20" s="6" t="s">
        <v>133</v>
      </c>
      <c r="E20" s="29"/>
      <c r="F20" s="33" t="s">
        <v>92</v>
      </c>
      <c r="G20" s="29"/>
      <c r="H20" s="29"/>
      <c r="I20" s="29"/>
      <c r="K20" s="30" t="s">
        <v>93</v>
      </c>
      <c r="L20" s="31"/>
    </row>
    <row r="21" customFormat="false" ht="34.5" hidden="false" customHeight="true" outlineLevel="0" collapsed="false">
      <c r="A21" s="26" t="s">
        <v>134</v>
      </c>
      <c r="B21" s="6" t="s">
        <v>135</v>
      </c>
      <c r="C21" s="34" t="s">
        <v>31</v>
      </c>
      <c r="D21" s="6" t="s">
        <v>136</v>
      </c>
      <c r="E21" s="29"/>
      <c r="F21" s="35" t="s">
        <v>92</v>
      </c>
      <c r="G21" s="29"/>
      <c r="H21" s="29"/>
      <c r="I21" s="29"/>
      <c r="K21" s="30" t="s">
        <v>93</v>
      </c>
      <c r="L21" s="31"/>
    </row>
    <row r="22" customFormat="false" ht="34.5" hidden="false" customHeight="true" outlineLevel="0" collapsed="false">
      <c r="A22" s="26" t="s">
        <v>137</v>
      </c>
      <c r="B22" s="6" t="s">
        <v>138</v>
      </c>
      <c r="C22" s="34" t="s">
        <v>31</v>
      </c>
      <c r="D22" s="6" t="s">
        <v>139</v>
      </c>
      <c r="E22" s="29"/>
      <c r="F22" s="35" t="s">
        <v>92</v>
      </c>
      <c r="G22" s="29"/>
      <c r="H22" s="29"/>
      <c r="I22" s="29"/>
      <c r="K22" s="30" t="s">
        <v>93</v>
      </c>
      <c r="L22" s="31"/>
    </row>
    <row r="23" customFormat="false" ht="34.5" hidden="false" customHeight="true" outlineLevel="0" collapsed="false">
      <c r="A23" s="26" t="s">
        <v>140</v>
      </c>
      <c r="B23" s="6" t="s">
        <v>141</v>
      </c>
      <c r="C23" s="34" t="s">
        <v>31</v>
      </c>
      <c r="D23" s="6" t="s">
        <v>142</v>
      </c>
      <c r="E23" s="29"/>
      <c r="F23" s="35" t="s">
        <v>92</v>
      </c>
      <c r="G23" s="29"/>
      <c r="H23" s="29"/>
      <c r="I23" s="29"/>
      <c r="K23" s="30" t="s">
        <v>93</v>
      </c>
      <c r="L23" s="31"/>
    </row>
    <row r="24" customFormat="false" ht="20.25" hidden="false" customHeight="true" outlineLevel="0" collapsed="false">
      <c r="A24" s="26" t="s">
        <v>143</v>
      </c>
      <c r="B24" s="6" t="s">
        <v>144</v>
      </c>
      <c r="C24" s="36" t="s">
        <v>32</v>
      </c>
      <c r="D24" s="6" t="s">
        <v>145</v>
      </c>
      <c r="E24" s="29"/>
      <c r="F24" s="37" t="s">
        <v>92</v>
      </c>
      <c r="G24" s="29"/>
      <c r="H24" s="29"/>
      <c r="I24" s="29"/>
      <c r="K24" s="30" t="s">
        <v>93</v>
      </c>
      <c r="L24" s="31"/>
    </row>
    <row r="25" customFormat="false" ht="20.25" hidden="false" customHeight="true" outlineLevel="0" collapsed="false">
      <c r="A25" s="26" t="s">
        <v>146</v>
      </c>
      <c r="B25" s="6" t="s">
        <v>147</v>
      </c>
      <c r="C25" s="36" t="s">
        <v>32</v>
      </c>
      <c r="D25" s="6" t="s">
        <v>148</v>
      </c>
      <c r="E25" s="29"/>
      <c r="F25" s="37" t="s">
        <v>92</v>
      </c>
      <c r="G25" s="29"/>
      <c r="H25" s="29"/>
      <c r="I25" s="29"/>
      <c r="K25" s="30" t="s">
        <v>93</v>
      </c>
      <c r="L25" s="31"/>
    </row>
    <row r="26" customFormat="false" ht="20.25" hidden="false" customHeight="true" outlineLevel="0" collapsed="false">
      <c r="A26" s="26" t="s">
        <v>149</v>
      </c>
      <c r="B26" s="6" t="s">
        <v>150</v>
      </c>
      <c r="C26" s="36" t="s">
        <v>32</v>
      </c>
      <c r="D26" s="6" t="s">
        <v>151</v>
      </c>
      <c r="E26" s="29"/>
      <c r="F26" s="37" t="s">
        <v>92</v>
      </c>
      <c r="G26" s="29"/>
      <c r="H26" s="29"/>
      <c r="I26" s="29"/>
      <c r="K26" s="30" t="s">
        <v>93</v>
      </c>
      <c r="L26" s="31"/>
    </row>
    <row r="27" customFormat="false" ht="20.25" hidden="false" customHeight="true" outlineLevel="0" collapsed="false">
      <c r="A27" s="26" t="s">
        <v>152</v>
      </c>
      <c r="B27" s="6" t="s">
        <v>153</v>
      </c>
      <c r="C27" s="38" t="s">
        <v>33</v>
      </c>
      <c r="D27" s="6" t="s">
        <v>151</v>
      </c>
      <c r="E27" s="29"/>
      <c r="F27" s="39" t="s">
        <v>92</v>
      </c>
      <c r="G27" s="29"/>
      <c r="H27" s="29"/>
      <c r="I27" s="29"/>
      <c r="K27" s="30" t="s">
        <v>93</v>
      </c>
      <c r="L27" s="31"/>
    </row>
    <row r="28" customFormat="false" ht="34.5" hidden="false" customHeight="true" outlineLevel="0" collapsed="false">
      <c r="A28" s="26" t="s">
        <v>154</v>
      </c>
      <c r="B28" s="6" t="s">
        <v>155</v>
      </c>
      <c r="C28" s="38" t="s">
        <v>33</v>
      </c>
      <c r="D28" s="6" t="s">
        <v>156</v>
      </c>
      <c r="E28" s="29"/>
      <c r="F28" s="39" t="s">
        <v>92</v>
      </c>
      <c r="G28" s="29"/>
      <c r="H28" s="29"/>
      <c r="I28" s="29"/>
      <c r="K28" s="30" t="s">
        <v>93</v>
      </c>
      <c r="L28" s="31"/>
    </row>
    <row r="29" customFormat="false" ht="20.25" hidden="false" customHeight="true" outlineLevel="0" collapsed="false">
      <c r="A29" s="26" t="s">
        <v>157</v>
      </c>
      <c r="B29" s="5" t="s">
        <v>158</v>
      </c>
      <c r="C29" s="32" t="s">
        <v>159</v>
      </c>
      <c r="D29" s="6" t="s">
        <v>160</v>
      </c>
      <c r="E29" s="29"/>
      <c r="F29" s="29"/>
      <c r="G29" s="33" t="s">
        <v>92</v>
      </c>
      <c r="H29" s="29"/>
      <c r="I29" s="29"/>
      <c r="K29" s="30" t="s">
        <v>93</v>
      </c>
      <c r="L29" s="31"/>
    </row>
    <row r="30" customFormat="false" ht="34.5" hidden="false" customHeight="true" outlineLevel="0" collapsed="false">
      <c r="A30" s="26" t="s">
        <v>161</v>
      </c>
      <c r="B30" s="5" t="s">
        <v>162</v>
      </c>
      <c r="C30" s="32" t="s">
        <v>159</v>
      </c>
      <c r="D30" s="6" t="s">
        <v>163</v>
      </c>
      <c r="E30" s="29"/>
      <c r="F30" s="29"/>
      <c r="G30" s="33" t="s">
        <v>92</v>
      </c>
      <c r="H30" s="29"/>
      <c r="I30" s="29"/>
      <c r="K30" s="30" t="s">
        <v>93</v>
      </c>
      <c r="L30" s="31"/>
    </row>
    <row r="31" customFormat="false" ht="34.5" hidden="false" customHeight="true" outlineLevel="0" collapsed="false">
      <c r="A31" s="26" t="s">
        <v>164</v>
      </c>
      <c r="B31" s="5" t="s">
        <v>165</v>
      </c>
      <c r="C31" s="36" t="s">
        <v>32</v>
      </c>
      <c r="D31" s="6" t="s">
        <v>166</v>
      </c>
      <c r="E31" s="29"/>
      <c r="F31" s="29"/>
      <c r="G31" s="37" t="s">
        <v>92</v>
      </c>
      <c r="H31" s="29"/>
      <c r="I31" s="29"/>
      <c r="K31" s="30" t="s">
        <v>93</v>
      </c>
      <c r="L31" s="31"/>
    </row>
    <row r="32" customFormat="false" ht="20.25" hidden="false" customHeight="true" outlineLevel="0" collapsed="false">
      <c r="A32" s="26" t="s">
        <v>167</v>
      </c>
      <c r="B32" s="6" t="s">
        <v>168</v>
      </c>
      <c r="C32" s="36" t="s">
        <v>169</v>
      </c>
      <c r="D32" s="6" t="s">
        <v>91</v>
      </c>
      <c r="E32" s="29"/>
      <c r="F32" s="29"/>
      <c r="G32" s="37" t="s">
        <v>92</v>
      </c>
      <c r="H32" s="29"/>
      <c r="I32" s="29"/>
      <c r="K32" s="30" t="s">
        <v>93</v>
      </c>
      <c r="L32" s="31"/>
    </row>
    <row r="33" customFormat="false" ht="20.25" hidden="false" customHeight="true" outlineLevel="0" collapsed="false">
      <c r="A33" s="26" t="s">
        <v>170</v>
      </c>
      <c r="B33" s="6" t="s">
        <v>171</v>
      </c>
      <c r="C33" s="38" t="s">
        <v>33</v>
      </c>
      <c r="D33" s="6" t="s">
        <v>172</v>
      </c>
      <c r="E33" s="29"/>
      <c r="F33" s="29"/>
      <c r="G33" s="39" t="s">
        <v>92</v>
      </c>
      <c r="H33" s="29"/>
      <c r="I33" s="29"/>
      <c r="K33" s="30" t="s">
        <v>93</v>
      </c>
      <c r="L33" s="31"/>
    </row>
    <row r="34" customFormat="false" ht="20.25" hidden="false" customHeight="true" outlineLevel="0" collapsed="false">
      <c r="A34" s="26" t="s">
        <v>173</v>
      </c>
      <c r="B34" s="5" t="s">
        <v>174</v>
      </c>
      <c r="C34" s="38" t="s">
        <v>33</v>
      </c>
      <c r="D34" s="6" t="s">
        <v>175</v>
      </c>
      <c r="E34" s="29"/>
      <c r="F34" s="29"/>
      <c r="G34" s="39" t="s">
        <v>92</v>
      </c>
      <c r="H34" s="29"/>
      <c r="I34" s="29"/>
      <c r="K34" s="30" t="s">
        <v>93</v>
      </c>
      <c r="L34" s="31"/>
    </row>
    <row r="35" customFormat="false" ht="20.25" hidden="false" customHeight="true" outlineLevel="0" collapsed="false">
      <c r="A35" s="26" t="s">
        <v>176</v>
      </c>
      <c r="B35" s="5" t="s">
        <v>177</v>
      </c>
      <c r="C35" s="32" t="s">
        <v>159</v>
      </c>
      <c r="D35" s="6" t="s">
        <v>178</v>
      </c>
      <c r="E35" s="29"/>
      <c r="F35" s="29"/>
      <c r="G35" s="29"/>
      <c r="H35" s="33" t="s">
        <v>92</v>
      </c>
      <c r="I35" s="29"/>
      <c r="K35" s="30" t="s">
        <v>93</v>
      </c>
      <c r="L35" s="31"/>
    </row>
    <row r="36" customFormat="false" ht="20.25" hidden="false" customHeight="true" outlineLevel="0" collapsed="false">
      <c r="A36" s="26" t="s">
        <v>179</v>
      </c>
      <c r="B36" s="6" t="s">
        <v>180</v>
      </c>
      <c r="C36" s="32" t="s">
        <v>159</v>
      </c>
      <c r="D36" s="6" t="s">
        <v>181</v>
      </c>
      <c r="E36" s="29"/>
      <c r="F36" s="29"/>
      <c r="G36" s="29"/>
      <c r="H36" s="33" t="s">
        <v>92</v>
      </c>
      <c r="I36" s="29"/>
      <c r="K36" s="30" t="s">
        <v>93</v>
      </c>
      <c r="L36" s="31"/>
    </row>
    <row r="37" customFormat="false" ht="34.5" hidden="false" customHeight="true" outlineLevel="0" collapsed="false">
      <c r="A37" s="26" t="s">
        <v>182</v>
      </c>
      <c r="B37" s="5" t="s">
        <v>183</v>
      </c>
      <c r="C37" s="36" t="s">
        <v>184</v>
      </c>
      <c r="D37" s="6" t="s">
        <v>185</v>
      </c>
      <c r="E37" s="29"/>
      <c r="F37" s="29"/>
      <c r="G37" s="29"/>
      <c r="H37" s="37" t="s">
        <v>92</v>
      </c>
      <c r="I37" s="29"/>
      <c r="K37" s="30" t="s">
        <v>93</v>
      </c>
      <c r="L37" s="31"/>
    </row>
    <row r="38" customFormat="false" ht="20.25" hidden="false" customHeight="true" outlineLevel="0" collapsed="false">
      <c r="A38" s="26" t="s">
        <v>186</v>
      </c>
      <c r="B38" s="6" t="s">
        <v>187</v>
      </c>
      <c r="C38" s="34" t="s">
        <v>31</v>
      </c>
      <c r="D38" s="6" t="s">
        <v>188</v>
      </c>
      <c r="E38" s="29"/>
      <c r="F38" s="29"/>
      <c r="G38" s="29"/>
      <c r="H38" s="35" t="s">
        <v>92</v>
      </c>
      <c r="I38" s="29"/>
      <c r="K38" s="30" t="s">
        <v>93</v>
      </c>
      <c r="L38" s="31"/>
    </row>
    <row r="39" customFormat="false" ht="20.25" hidden="false" customHeight="true" outlineLevel="0" collapsed="false">
      <c r="A39" s="26" t="s">
        <v>189</v>
      </c>
      <c r="B39" s="5" t="s">
        <v>190</v>
      </c>
      <c r="C39" s="34" t="s">
        <v>31</v>
      </c>
      <c r="D39" s="6" t="s">
        <v>191</v>
      </c>
      <c r="E39" s="29"/>
      <c r="F39" s="29"/>
      <c r="G39" s="29"/>
      <c r="H39" s="35" t="s">
        <v>92</v>
      </c>
      <c r="I39" s="29"/>
      <c r="K39" s="30" t="s">
        <v>93</v>
      </c>
      <c r="L39" s="31"/>
    </row>
    <row r="40" customFormat="false" ht="20.25" hidden="false" customHeight="true" outlineLevel="0" collapsed="false">
      <c r="A40" s="26" t="s">
        <v>192</v>
      </c>
      <c r="B40" s="6" t="s">
        <v>193</v>
      </c>
      <c r="C40" s="38" t="s">
        <v>33</v>
      </c>
      <c r="D40" s="6" t="s">
        <v>194</v>
      </c>
      <c r="E40" s="29"/>
      <c r="F40" s="29"/>
      <c r="G40" s="29"/>
      <c r="H40" s="39" t="s">
        <v>92</v>
      </c>
      <c r="I40" s="29"/>
      <c r="K40" s="30" t="s">
        <v>93</v>
      </c>
      <c r="L40" s="31"/>
    </row>
    <row r="41" customFormat="false" ht="34.5" hidden="false" customHeight="true" outlineLevel="0" collapsed="false">
      <c r="A41" s="26" t="s">
        <v>195</v>
      </c>
      <c r="B41" s="5" t="s">
        <v>196</v>
      </c>
      <c r="C41" s="38" t="s">
        <v>33</v>
      </c>
      <c r="D41" s="6" t="s">
        <v>197</v>
      </c>
      <c r="E41" s="29"/>
      <c r="F41" s="29"/>
      <c r="G41" s="29"/>
      <c r="H41" s="39" t="s">
        <v>92</v>
      </c>
      <c r="I41" s="29"/>
      <c r="K41" s="30" t="s">
        <v>93</v>
      </c>
      <c r="L41" s="31"/>
    </row>
    <row r="42" customFormat="false" ht="20.25" hidden="false" customHeight="true" outlineLevel="0" collapsed="false">
      <c r="A42" s="26" t="s">
        <v>198</v>
      </c>
      <c r="B42" s="5" t="s">
        <v>199</v>
      </c>
      <c r="C42" s="27" t="s">
        <v>90</v>
      </c>
      <c r="D42" s="6" t="s">
        <v>105</v>
      </c>
      <c r="E42" s="29"/>
      <c r="F42" s="29"/>
      <c r="G42" s="29"/>
      <c r="H42" s="28" t="s">
        <v>92</v>
      </c>
      <c r="I42" s="29"/>
      <c r="K42" s="30" t="s">
        <v>93</v>
      </c>
      <c r="L42" s="31"/>
    </row>
    <row r="43" customFormat="false" ht="20.25" hidden="false" customHeight="true" outlineLevel="0" collapsed="false">
      <c r="A43" s="26" t="s">
        <v>200</v>
      </c>
      <c r="B43" s="5" t="s">
        <v>201</v>
      </c>
      <c r="C43" s="34" t="s">
        <v>31</v>
      </c>
      <c r="D43" s="6" t="s">
        <v>202</v>
      </c>
      <c r="E43" s="29"/>
      <c r="F43" s="29"/>
      <c r="G43" s="29"/>
      <c r="H43" s="29"/>
      <c r="I43" s="35" t="s">
        <v>92</v>
      </c>
      <c r="K43" s="30" t="s">
        <v>93</v>
      </c>
      <c r="L43" s="31"/>
    </row>
    <row r="44" customFormat="false" ht="20.25" hidden="false" customHeight="true" outlineLevel="0" collapsed="false">
      <c r="A44" s="26" t="s">
        <v>203</v>
      </c>
      <c r="B44" s="6" t="s">
        <v>204</v>
      </c>
      <c r="C44" s="32" t="s">
        <v>30</v>
      </c>
      <c r="D44" s="6" t="s">
        <v>9</v>
      </c>
      <c r="E44" s="29"/>
      <c r="F44" s="29"/>
      <c r="G44" s="29"/>
      <c r="H44" s="29"/>
      <c r="I44" s="33" t="s">
        <v>92</v>
      </c>
      <c r="K44" s="30" t="s">
        <v>93</v>
      </c>
      <c r="L44" s="31"/>
    </row>
    <row r="45" customFormat="false" ht="20.25" hidden="false" customHeight="true" outlineLevel="0" collapsed="false">
      <c r="A45" s="26" t="s">
        <v>205</v>
      </c>
      <c r="B45" s="6" t="s">
        <v>206</v>
      </c>
      <c r="C45" s="36" t="s">
        <v>32</v>
      </c>
      <c r="D45" s="6" t="s">
        <v>207</v>
      </c>
      <c r="E45" s="29"/>
      <c r="F45" s="29"/>
      <c r="G45" s="29"/>
      <c r="H45" s="29"/>
      <c r="I45" s="37" t="s">
        <v>92</v>
      </c>
      <c r="K45" s="30" t="s">
        <v>93</v>
      </c>
      <c r="L45" s="31"/>
    </row>
    <row r="46" customFormat="false" ht="20.25" hidden="false" customHeight="true" outlineLevel="0" collapsed="false">
      <c r="A46" s="26" t="s">
        <v>208</v>
      </c>
      <c r="B46" s="6" t="s">
        <v>209</v>
      </c>
      <c r="C46" s="38" t="s">
        <v>33</v>
      </c>
      <c r="D46" s="6" t="s">
        <v>21</v>
      </c>
      <c r="E46" s="29"/>
      <c r="F46" s="29"/>
      <c r="G46" s="29"/>
      <c r="H46" s="29"/>
      <c r="I46" s="39" t="s">
        <v>92</v>
      </c>
      <c r="K46" s="30" t="s">
        <v>93</v>
      </c>
      <c r="L46" s="31"/>
    </row>
    <row r="47" customFormat="false" ht="20.25" hidden="false" customHeight="true" outlineLevel="0" collapsed="false">
      <c r="A47" s="26" t="s">
        <v>210</v>
      </c>
      <c r="B47" s="5" t="s">
        <v>211</v>
      </c>
      <c r="C47" s="27" t="s">
        <v>90</v>
      </c>
      <c r="D47" s="6" t="s">
        <v>212</v>
      </c>
      <c r="E47" s="29"/>
      <c r="F47" s="29"/>
      <c r="G47" s="29"/>
      <c r="H47" s="29"/>
      <c r="I47" s="28" t="s">
        <v>92</v>
      </c>
      <c r="K47" s="30" t="s">
        <v>93</v>
      </c>
      <c r="L47" s="31"/>
    </row>
    <row r="49" customFormat="false" ht="15" hidden="false" customHeight="false" outlineLevel="0" collapsed="false">
      <c r="A49" s="40" t="s">
        <v>213</v>
      </c>
      <c r="D49" s="41" t="s">
        <v>30</v>
      </c>
      <c r="E49" s="42" t="s">
        <v>31</v>
      </c>
      <c r="F49" s="43" t="s">
        <v>32</v>
      </c>
      <c r="G49" s="44" t="s">
        <v>33</v>
      </c>
      <c r="H49" s="45" t="s">
        <v>90</v>
      </c>
    </row>
    <row r="50" customFormat="false" ht="15" hidden="false" customHeight="false" outlineLevel="0" collapsed="false">
      <c r="A50" s="2" t="s">
        <v>214</v>
      </c>
    </row>
  </sheetData>
  <autoFilter ref="A5:L47"/>
  <conditionalFormatting sqref="K6:K47">
    <cfRule type="expression" priority="2" aboveAverage="0" equalAverage="0" bottom="0" percent="0" rank="0" text="" dxfId="10">
      <formula>$K6="완료"</formula>
    </cfRule>
    <cfRule type="expression" priority="3" aboveAverage="0" equalAverage="0" bottom="0" percent="0" rank="0" text="" dxfId="11">
      <formula>$K6="진행"</formula>
    </cfRule>
    <cfRule type="expression" priority="4" aboveAverage="0" equalAverage="0" bottom="0" percent="0" rank="0" text="" dxfId="12">
      <formula>$K6="지연"</formula>
    </cfRule>
  </conditionalFormatting>
  <dataValidations count="1">
    <dataValidation allowBlank="true" errorStyle="stop" operator="between" showDropDown="false" showErrorMessage="false" showInputMessage="false" sqref="K6:K47" type="list">
      <formula1>"대기,진행,완료,지연"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56"/>
    <col collapsed="false" customWidth="true" hidden="false" outlineLevel="0" max="4" min="4" style="0" width="16"/>
    <col collapsed="false" customWidth="true" hidden="false" outlineLevel="0" max="5" min="5" style="0" width="40"/>
    <col collapsed="false" customWidth="true" hidden="false" outlineLevel="0" max="6" min="6" style="0" width="22"/>
  </cols>
  <sheetData>
    <row r="1" customFormat="false" ht="24" hidden="false" customHeight="true" outlineLevel="0" collapsed="false">
      <c r="A1" s="1" t="s">
        <v>215</v>
      </c>
    </row>
    <row r="2" customFormat="false" ht="15" hidden="false" customHeight="false" outlineLevel="0" collapsed="false">
      <c r="A2" s="2" t="s">
        <v>216</v>
      </c>
    </row>
    <row r="4" customFormat="false" ht="19.5" hidden="false" customHeight="true" outlineLevel="0" collapsed="false">
      <c r="A4" s="10" t="s">
        <v>40</v>
      </c>
    </row>
    <row r="5" customFormat="false" ht="31.5" hidden="false" customHeight="true" outlineLevel="0" collapsed="false">
      <c r="A5" s="25" t="s">
        <v>78</v>
      </c>
      <c r="B5" s="3" t="s">
        <v>38</v>
      </c>
      <c r="C5" s="3" t="s">
        <v>217</v>
      </c>
      <c r="D5" s="3" t="s">
        <v>218</v>
      </c>
      <c r="E5" s="3" t="s">
        <v>87</v>
      </c>
      <c r="F5" s="3" t="s">
        <v>219</v>
      </c>
    </row>
    <row r="6" customFormat="false" ht="34.5" hidden="false" customHeight="true" outlineLevel="0" collapsed="false">
      <c r="A6" s="46" t="s">
        <v>220</v>
      </c>
      <c r="B6" s="26" t="s">
        <v>221</v>
      </c>
      <c r="C6" s="5" t="s">
        <v>222</v>
      </c>
      <c r="D6" s="47" t="s">
        <v>31</v>
      </c>
      <c r="E6" s="5" t="s">
        <v>223</v>
      </c>
      <c r="F6" s="30" t="s">
        <v>224</v>
      </c>
    </row>
    <row r="7" customFormat="false" ht="34.5" hidden="false" customHeight="true" outlineLevel="0" collapsed="false">
      <c r="A7" s="46" t="s">
        <v>225</v>
      </c>
      <c r="B7" s="26" t="s">
        <v>226</v>
      </c>
      <c r="C7" s="6" t="s">
        <v>227</v>
      </c>
      <c r="D7" s="47" t="s">
        <v>31</v>
      </c>
      <c r="E7" s="5"/>
      <c r="F7" s="30" t="s">
        <v>224</v>
      </c>
    </row>
    <row r="8" customFormat="false" ht="34.5" hidden="false" customHeight="true" outlineLevel="0" collapsed="false">
      <c r="A8" s="46" t="s">
        <v>228</v>
      </c>
      <c r="B8" s="26" t="s">
        <v>229</v>
      </c>
      <c r="C8" s="5" t="s">
        <v>230</v>
      </c>
      <c r="D8" s="47" t="s">
        <v>31</v>
      </c>
      <c r="E8" s="5" t="s">
        <v>231</v>
      </c>
      <c r="F8" s="30" t="s">
        <v>224</v>
      </c>
    </row>
    <row r="9" customFormat="false" ht="34.5" hidden="false" customHeight="true" outlineLevel="0" collapsed="false">
      <c r="A9" s="46" t="s">
        <v>232</v>
      </c>
      <c r="B9" s="26" t="s">
        <v>233</v>
      </c>
      <c r="C9" s="5" t="s">
        <v>234</v>
      </c>
      <c r="D9" s="47" t="s">
        <v>31</v>
      </c>
      <c r="E9" s="5" t="s">
        <v>235</v>
      </c>
      <c r="F9" s="30" t="s">
        <v>224</v>
      </c>
    </row>
    <row r="10" customFormat="false" ht="20.25" hidden="false" customHeight="true" outlineLevel="0" collapsed="false">
      <c r="A10" s="46" t="s">
        <v>236</v>
      </c>
      <c r="B10" s="26" t="s">
        <v>237</v>
      </c>
      <c r="C10" s="6" t="s">
        <v>238</v>
      </c>
      <c r="D10" s="47" t="s">
        <v>90</v>
      </c>
      <c r="E10" s="5"/>
      <c r="F10" s="30" t="s">
        <v>224</v>
      </c>
    </row>
    <row r="12" customFormat="false" ht="19.5" hidden="false" customHeight="true" outlineLevel="0" collapsed="false">
      <c r="A12" s="10" t="s">
        <v>239</v>
      </c>
    </row>
    <row r="13" customFormat="false" ht="31.5" hidden="false" customHeight="true" outlineLevel="0" collapsed="false">
      <c r="A13" s="25" t="s">
        <v>78</v>
      </c>
      <c r="B13" s="3" t="s">
        <v>38</v>
      </c>
      <c r="C13" s="3" t="s">
        <v>240</v>
      </c>
      <c r="D13" s="3" t="s">
        <v>2</v>
      </c>
      <c r="E13" s="3" t="s">
        <v>241</v>
      </c>
      <c r="F13" s="3" t="s">
        <v>242</v>
      </c>
    </row>
    <row r="14" customFormat="false" ht="34.5" hidden="false" customHeight="true" outlineLevel="0" collapsed="false">
      <c r="A14" s="46" t="s">
        <v>243</v>
      </c>
      <c r="B14" s="26" t="s">
        <v>244</v>
      </c>
      <c r="C14" s="5" t="s">
        <v>245</v>
      </c>
      <c r="D14" s="34" t="s">
        <v>246</v>
      </c>
      <c r="E14" s="5" t="s">
        <v>247</v>
      </c>
      <c r="F14" s="30" t="s">
        <v>248</v>
      </c>
    </row>
    <row r="15" customFormat="false" ht="34.5" hidden="false" customHeight="true" outlineLevel="0" collapsed="false">
      <c r="A15" s="46" t="s">
        <v>249</v>
      </c>
      <c r="B15" s="26" t="s">
        <v>250</v>
      </c>
      <c r="C15" s="5" t="s">
        <v>251</v>
      </c>
      <c r="D15" s="34" t="s">
        <v>246</v>
      </c>
      <c r="E15" s="6" t="s">
        <v>252</v>
      </c>
      <c r="F15" s="30" t="s">
        <v>248</v>
      </c>
    </row>
    <row r="16" customFormat="false" ht="34.5" hidden="false" customHeight="true" outlineLevel="0" collapsed="false">
      <c r="A16" s="46" t="s">
        <v>253</v>
      </c>
      <c r="B16" s="26" t="s">
        <v>254</v>
      </c>
      <c r="C16" s="5" t="s">
        <v>255</v>
      </c>
      <c r="D16" s="34" t="s">
        <v>31</v>
      </c>
      <c r="E16" s="5" t="s">
        <v>256</v>
      </c>
      <c r="F16" s="30" t="s">
        <v>248</v>
      </c>
    </row>
    <row r="17" customFormat="false" ht="34.5" hidden="false" customHeight="true" outlineLevel="0" collapsed="false">
      <c r="A17" s="46" t="s">
        <v>257</v>
      </c>
      <c r="B17" s="26" t="s">
        <v>254</v>
      </c>
      <c r="C17" s="5" t="s">
        <v>258</v>
      </c>
      <c r="D17" s="32" t="s">
        <v>30</v>
      </c>
      <c r="E17" s="5" t="s">
        <v>259</v>
      </c>
      <c r="F17" s="30" t="s">
        <v>248</v>
      </c>
    </row>
    <row r="18" customFormat="false" ht="34.5" hidden="false" customHeight="true" outlineLevel="0" collapsed="false">
      <c r="A18" s="46" t="s">
        <v>260</v>
      </c>
      <c r="B18" s="26" t="s">
        <v>254</v>
      </c>
      <c r="C18" s="5" t="s">
        <v>261</v>
      </c>
      <c r="D18" s="38" t="s">
        <v>33</v>
      </c>
      <c r="E18" s="5" t="s">
        <v>262</v>
      </c>
      <c r="F18" s="30" t="s">
        <v>248</v>
      </c>
    </row>
    <row r="19" customFormat="false" ht="34.5" hidden="false" customHeight="true" outlineLevel="0" collapsed="false">
      <c r="A19" s="46" t="s">
        <v>263</v>
      </c>
      <c r="B19" s="26" t="s">
        <v>254</v>
      </c>
      <c r="C19" s="5" t="s">
        <v>264</v>
      </c>
      <c r="D19" s="32" t="s">
        <v>265</v>
      </c>
      <c r="E19" s="5" t="s">
        <v>266</v>
      </c>
      <c r="F19" s="30" t="s">
        <v>248</v>
      </c>
    </row>
    <row r="20" customFormat="false" ht="49.5" hidden="false" customHeight="true" outlineLevel="0" collapsed="false">
      <c r="A20" s="46" t="s">
        <v>267</v>
      </c>
      <c r="B20" s="26" t="s">
        <v>268</v>
      </c>
      <c r="C20" s="5" t="s">
        <v>269</v>
      </c>
      <c r="D20" s="36" t="s">
        <v>270</v>
      </c>
      <c r="E20" s="5" t="s">
        <v>271</v>
      </c>
      <c r="F20" s="30" t="s">
        <v>248</v>
      </c>
    </row>
    <row r="21" customFormat="false" ht="49.5" hidden="false" customHeight="true" outlineLevel="0" collapsed="false">
      <c r="A21" s="46" t="s">
        <v>207</v>
      </c>
      <c r="B21" s="26" t="s">
        <v>254</v>
      </c>
      <c r="C21" s="5" t="s">
        <v>272</v>
      </c>
      <c r="D21" s="36" t="s">
        <v>32</v>
      </c>
      <c r="E21" s="5" t="s">
        <v>273</v>
      </c>
      <c r="F21" s="30" t="s">
        <v>248</v>
      </c>
    </row>
    <row r="22" customFormat="false" ht="34.5" hidden="false" customHeight="true" outlineLevel="0" collapsed="false">
      <c r="A22" s="46" t="s">
        <v>274</v>
      </c>
      <c r="B22" s="26" t="s">
        <v>254</v>
      </c>
      <c r="C22" s="5" t="s">
        <v>275</v>
      </c>
      <c r="D22" s="38" t="s">
        <v>33</v>
      </c>
      <c r="E22" s="5" t="s">
        <v>276</v>
      </c>
      <c r="F22" s="30" t="s">
        <v>248</v>
      </c>
    </row>
    <row r="23" customFormat="false" ht="20.25" hidden="false" customHeight="true" outlineLevel="0" collapsed="false">
      <c r="A23" s="48" t="s">
        <v>277</v>
      </c>
      <c r="B23" s="26" t="s">
        <v>254</v>
      </c>
      <c r="C23" s="6" t="s">
        <v>278</v>
      </c>
      <c r="D23" s="34" t="s">
        <v>31</v>
      </c>
      <c r="E23" s="5" t="s">
        <v>279</v>
      </c>
      <c r="F23" s="30" t="s">
        <v>248</v>
      </c>
    </row>
    <row r="25" customFormat="false" ht="15" hidden="false" customHeight="false" outlineLevel="0" collapsed="false">
      <c r="A25" s="49" t="s">
        <v>280</v>
      </c>
    </row>
  </sheetData>
  <dataValidations count="2">
    <dataValidation allowBlank="true" errorStyle="stop" operator="between" showDropDown="false" showErrorMessage="false" showInputMessage="false" sqref="F6:F10" type="list">
      <formula1>"미달성,달성,부분 달성"</formula1>
      <formula2>0</formula2>
    </dataValidation>
    <dataValidation allowBlank="true" errorStyle="stop" operator="between" showDropDown="false" showErrorMessage="false" showInputMessage="false" sqref="F14:F23" type="list">
      <formula1>"미실시,합격,불합격,보류"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84"/>
  </cols>
  <sheetData>
    <row r="1" customFormat="false" ht="24" hidden="false" customHeight="true" outlineLevel="0" collapsed="false">
      <c r="A1" s="1" t="s">
        <v>281</v>
      </c>
    </row>
    <row r="2" customFormat="false" ht="15" hidden="false" customHeight="false" outlineLevel="0" collapsed="false">
      <c r="A2" s="2" t="s">
        <v>1</v>
      </c>
    </row>
    <row r="4" customFormat="false" ht="19.5" hidden="false" customHeight="true" outlineLevel="0" collapsed="false">
      <c r="A4" s="10" t="s">
        <v>282</v>
      </c>
    </row>
    <row r="5" customFormat="false" ht="31.5" hidden="false" customHeight="true" outlineLevel="0" collapsed="false">
      <c r="A5" s="3" t="s">
        <v>283</v>
      </c>
      <c r="B5" s="3" t="s">
        <v>284</v>
      </c>
      <c r="C5" s="3" t="s">
        <v>285</v>
      </c>
    </row>
    <row r="6" customFormat="false" ht="63.75" hidden="false" customHeight="true" outlineLevel="0" collapsed="false">
      <c r="A6" s="26" t="s">
        <v>286</v>
      </c>
      <c r="B6" s="22" t="s">
        <v>287</v>
      </c>
      <c r="C6" s="6" t="s">
        <v>288</v>
      </c>
    </row>
    <row r="7" customFormat="false" ht="49.5" hidden="false" customHeight="true" outlineLevel="0" collapsed="false">
      <c r="A7" s="26" t="s">
        <v>289</v>
      </c>
      <c r="B7" s="22" t="s">
        <v>290</v>
      </c>
      <c r="C7" s="5" t="s">
        <v>291</v>
      </c>
    </row>
    <row r="8" customFormat="false" ht="49.5" hidden="false" customHeight="true" outlineLevel="0" collapsed="false">
      <c r="A8" s="26" t="s">
        <v>292</v>
      </c>
      <c r="B8" s="22" t="s">
        <v>293</v>
      </c>
      <c r="C8" s="5" t="s">
        <v>294</v>
      </c>
    </row>
    <row r="10" customFormat="false" ht="19.5" hidden="false" customHeight="true" outlineLevel="0" collapsed="false">
      <c r="A10" s="10" t="s">
        <v>295</v>
      </c>
    </row>
    <row r="11" customFormat="false" ht="31.5" hidden="false" customHeight="true" outlineLevel="0" collapsed="false">
      <c r="A11" s="3" t="s">
        <v>38</v>
      </c>
      <c r="B11" s="3" t="s">
        <v>296</v>
      </c>
      <c r="C11" s="3" t="s">
        <v>297</v>
      </c>
    </row>
    <row r="12" customFormat="false" ht="20.25" hidden="false" customHeight="true" outlineLevel="0" collapsed="false">
      <c r="A12" s="46" t="s">
        <v>298</v>
      </c>
      <c r="B12" s="5" t="s">
        <v>299</v>
      </c>
      <c r="C12" s="5" t="s">
        <v>300</v>
      </c>
    </row>
    <row r="13" customFormat="false" ht="20.25" hidden="false" customHeight="true" outlineLevel="0" collapsed="false">
      <c r="A13" s="46" t="s">
        <v>301</v>
      </c>
      <c r="B13" s="5" t="s">
        <v>302</v>
      </c>
      <c r="C13" s="5" t="s">
        <v>303</v>
      </c>
    </row>
    <row r="14" customFormat="false" ht="20.25" hidden="false" customHeight="true" outlineLevel="0" collapsed="false">
      <c r="A14" s="46" t="s">
        <v>304</v>
      </c>
      <c r="B14" s="5" t="s">
        <v>159</v>
      </c>
      <c r="C14" s="6" t="s">
        <v>305</v>
      </c>
    </row>
    <row r="15" customFormat="false" ht="20.25" hidden="false" customHeight="true" outlineLevel="0" collapsed="false">
      <c r="A15" s="46" t="s">
        <v>306</v>
      </c>
      <c r="B15" s="5" t="s">
        <v>307</v>
      </c>
      <c r="C15" s="5" t="s">
        <v>308</v>
      </c>
    </row>
    <row r="16" customFormat="false" ht="20.25" hidden="false" customHeight="true" outlineLevel="0" collapsed="false">
      <c r="A16" s="46" t="s">
        <v>309</v>
      </c>
      <c r="B16" s="5" t="s">
        <v>90</v>
      </c>
      <c r="C16" s="6" t="s">
        <v>310</v>
      </c>
    </row>
    <row r="18" customFormat="false" ht="19.5" hidden="false" customHeight="true" outlineLevel="0" collapsed="false">
      <c r="A18" s="10" t="s">
        <v>311</v>
      </c>
    </row>
    <row r="19" customFormat="false" ht="31.5" hidden="false" customHeight="true" outlineLevel="0" collapsed="false">
      <c r="A19" s="3" t="s">
        <v>312</v>
      </c>
      <c r="B19" s="3" t="s">
        <v>313</v>
      </c>
      <c r="C19" s="3" t="s">
        <v>314</v>
      </c>
    </row>
    <row r="20" customFormat="false" ht="20.25" hidden="false" customHeight="true" outlineLevel="0" collapsed="false">
      <c r="A20" s="26" t="s">
        <v>286</v>
      </c>
      <c r="B20" s="6" t="s">
        <v>315</v>
      </c>
      <c r="C20" s="6" t="s">
        <v>316</v>
      </c>
    </row>
    <row r="21" customFormat="false" ht="20.25" hidden="false" customHeight="true" outlineLevel="0" collapsed="false">
      <c r="A21" s="26" t="s">
        <v>289</v>
      </c>
      <c r="B21" s="5" t="s">
        <v>317</v>
      </c>
      <c r="C21" s="6" t="s">
        <v>318</v>
      </c>
    </row>
    <row r="22" customFormat="false" ht="20.25" hidden="false" customHeight="true" outlineLevel="0" collapsed="false">
      <c r="A22" s="26" t="s">
        <v>292</v>
      </c>
      <c r="B22" s="6" t="s">
        <v>319</v>
      </c>
      <c r="C22" s="5" t="s">
        <v>320</v>
      </c>
    </row>
    <row r="23" customFormat="false" ht="20.25" hidden="false" customHeight="true" outlineLevel="0" collapsed="false">
      <c r="A23" s="26" t="s">
        <v>321</v>
      </c>
      <c r="B23" s="5" t="s">
        <v>322</v>
      </c>
      <c r="C23" s="6" t="s">
        <v>323</v>
      </c>
    </row>
    <row r="24" customFormat="false" ht="20.25" hidden="false" customHeight="true" outlineLevel="0" collapsed="false">
      <c r="A24" s="26" t="s">
        <v>324</v>
      </c>
      <c r="B24" s="6" t="s">
        <v>325</v>
      </c>
      <c r="C24" s="5" t="s">
        <v>326</v>
      </c>
    </row>
    <row r="25" customFormat="false" ht="20.25" hidden="false" customHeight="true" outlineLevel="0" collapsed="false">
      <c r="A25" s="26" t="s">
        <v>327</v>
      </c>
      <c r="B25" s="5" t="s">
        <v>328</v>
      </c>
      <c r="C25" s="6" t="s">
        <v>329</v>
      </c>
    </row>
    <row r="27" customFormat="false" ht="21.75" hidden="false" customHeight="true" outlineLevel="0" collapsed="false">
      <c r="A27" s="50" t="s">
        <v>330</v>
      </c>
      <c r="B27" s="50"/>
      <c r="C27" s="50"/>
    </row>
  </sheetData>
  <mergeCells count="1">
    <mergeCell ref="A27:C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2026-09-18T05:50:48Z</dcterms:created>
  <dc:creator>openpyxl</dc:creator>
  <dc:description/>
  <dc:language>en-US</dc:language>
  <cp:lastModifiedBy/>
  <dcterms:modified xsi:type="dcterms:W3CDTF">2026-09-18T05:50:48Z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